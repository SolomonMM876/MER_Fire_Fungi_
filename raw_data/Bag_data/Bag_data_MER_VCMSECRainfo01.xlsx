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187" documentId="8_{026A5302-03B0-4701-B89C-B7E07C74B0B5}" xr6:coauthVersionLast="47" xr6:coauthVersionMax="47" xr10:uidLastSave="{81547CA4-1B43-463D-A9E2-5A7459ACAEAF}"/>
  <bookViews>
    <workbookView xWindow="28680" yWindow="-120" windowWidth="29040" windowHeight="15840" xr2:uid="{863DCDBF-065F-454A-AC5C-6202B1EF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P13" i="1"/>
  <c r="N13" i="1"/>
  <c r="N14" i="1"/>
  <c r="N12" i="1"/>
</calcChain>
</file>

<file path=xl/sharedStrings.xml><?xml version="1.0" encoding="utf-8"?>
<sst xmlns="http://schemas.openxmlformats.org/spreadsheetml/2006/main" count="143" uniqueCount="36">
  <si>
    <t>Harvest_date</t>
  </si>
  <si>
    <t>Site</t>
  </si>
  <si>
    <t>Plot</t>
  </si>
  <si>
    <t>Rep</t>
  </si>
  <si>
    <t>Nutrient_sub</t>
  </si>
  <si>
    <t>Bag_weight</t>
  </si>
  <si>
    <t>Dry_weight</t>
  </si>
  <si>
    <t>Tube_ID</t>
  </si>
  <si>
    <t>Damage</t>
  </si>
  <si>
    <t>Notes</t>
  </si>
  <si>
    <t>A</t>
  </si>
  <si>
    <t>B</t>
  </si>
  <si>
    <t>C</t>
  </si>
  <si>
    <t>D</t>
  </si>
  <si>
    <t>E</t>
  </si>
  <si>
    <t>extreme</t>
  </si>
  <si>
    <t>VCMSECRainfo01</t>
  </si>
  <si>
    <t>VCRF14B</t>
  </si>
  <si>
    <t>VCRF15B</t>
  </si>
  <si>
    <t>VCRF13B</t>
  </si>
  <si>
    <t>damage too extreme</t>
  </si>
  <si>
    <t>damage extreme</t>
  </si>
  <si>
    <t>nutrient sample lost</t>
  </si>
  <si>
    <t>VC14</t>
  </si>
  <si>
    <t>VC15</t>
  </si>
  <si>
    <t>VC13</t>
  </si>
  <si>
    <t>VC16</t>
  </si>
  <si>
    <t>VC17</t>
  </si>
  <si>
    <t>VC18</t>
  </si>
  <si>
    <t>VC19</t>
  </si>
  <si>
    <t>SAMPLE LOST</t>
  </si>
  <si>
    <t>VCRF16B</t>
  </si>
  <si>
    <t>VCRF17U</t>
  </si>
  <si>
    <t>VCRF18U</t>
  </si>
  <si>
    <t>VCRF19U</t>
  </si>
  <si>
    <t>VCRF20U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</si>
</sst>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468-C0D8-4C55-8438-2766993641C3}">
  <dimension ref="A1:P39"/>
  <sheetViews>
    <sheetView tabSelected="1" workbookViewId="0">
      <selection activeCell="A2" sqref="A2:A19"/>
    </sheetView>
  </sheetViews>
  <sheetFormatPr defaultRowHeight="15" x14ac:dyDescent="0.25"/>
  <cols>
    <col min="1" max="1" width="11.5703125" customWidth="1"/>
    <col min="2" max="2" width="16.42578125" customWidth="1"/>
    <col min="3" max="3" width="12.7109375" customWidth="1"/>
    <col min="5" max="5" width="12.140625" customWidth="1"/>
    <col min="6" max="6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25">
      <c r="A2" s="1">
        <v>45420</v>
      </c>
      <c r="B2" t="s">
        <v>16</v>
      </c>
      <c r="C2" t="s">
        <v>17</v>
      </c>
      <c r="D2" t="s">
        <v>10</v>
      </c>
      <c r="E2">
        <v>1.01</v>
      </c>
      <c r="F2">
        <v>10.46</v>
      </c>
      <c r="G2">
        <v>6.23</v>
      </c>
      <c r="H2" t="s">
        <v>23</v>
      </c>
    </row>
    <row r="3" spans="1:16" x14ac:dyDescent="0.25">
      <c r="A3" s="1">
        <v>45420</v>
      </c>
      <c r="B3" t="s">
        <v>16</v>
      </c>
      <c r="C3" t="s">
        <v>17</v>
      </c>
      <c r="D3" t="s">
        <v>11</v>
      </c>
      <c r="E3">
        <v>1</v>
      </c>
      <c r="F3">
        <v>11.02</v>
      </c>
      <c r="G3">
        <v>6.34</v>
      </c>
      <c r="H3" t="s">
        <v>23</v>
      </c>
    </row>
    <row r="4" spans="1:16" x14ac:dyDescent="0.25">
      <c r="A4" s="1">
        <v>45420</v>
      </c>
      <c r="B4" t="s">
        <v>16</v>
      </c>
      <c r="C4" t="s">
        <v>17</v>
      </c>
      <c r="D4" t="s">
        <v>12</v>
      </c>
      <c r="E4">
        <v>1.01</v>
      </c>
      <c r="F4">
        <v>10.029999999999999</v>
      </c>
      <c r="G4">
        <v>6.05</v>
      </c>
      <c r="H4" t="s">
        <v>23</v>
      </c>
    </row>
    <row r="5" spans="1:16" x14ac:dyDescent="0.25">
      <c r="A5" s="1">
        <v>45420</v>
      </c>
      <c r="B5" t="s">
        <v>16</v>
      </c>
      <c r="C5" t="s">
        <v>17</v>
      </c>
      <c r="D5" t="s">
        <v>13</v>
      </c>
      <c r="E5">
        <v>1.06</v>
      </c>
      <c r="F5">
        <v>10.58</v>
      </c>
      <c r="G5">
        <v>6.13</v>
      </c>
      <c r="H5" t="s">
        <v>23</v>
      </c>
    </row>
    <row r="6" spans="1:16" x14ac:dyDescent="0.25">
      <c r="A6" s="1">
        <v>45420</v>
      </c>
      <c r="B6" t="s">
        <v>16</v>
      </c>
      <c r="C6" t="s">
        <v>17</v>
      </c>
      <c r="D6" t="s">
        <v>14</v>
      </c>
      <c r="E6">
        <v>1</v>
      </c>
      <c r="F6">
        <v>11.11</v>
      </c>
      <c r="G6">
        <v>6.45</v>
      </c>
      <c r="H6" t="s">
        <v>23</v>
      </c>
    </row>
    <row r="7" spans="1:16" x14ac:dyDescent="0.25">
      <c r="A7" s="1">
        <v>45420</v>
      </c>
      <c r="B7" t="s">
        <v>16</v>
      </c>
      <c r="C7" t="s">
        <v>18</v>
      </c>
      <c r="D7" t="s">
        <v>10</v>
      </c>
      <c r="E7">
        <v>1.02</v>
      </c>
      <c r="F7">
        <v>8.36</v>
      </c>
      <c r="G7">
        <v>5.22</v>
      </c>
      <c r="H7" t="s">
        <v>24</v>
      </c>
    </row>
    <row r="8" spans="1:16" x14ac:dyDescent="0.25">
      <c r="A8" s="1">
        <v>45420</v>
      </c>
      <c r="B8" t="s">
        <v>16</v>
      </c>
      <c r="C8" t="s">
        <v>18</v>
      </c>
      <c r="D8" t="s">
        <v>11</v>
      </c>
      <c r="E8">
        <v>1.04</v>
      </c>
      <c r="F8">
        <v>6.61</v>
      </c>
      <c r="G8">
        <v>4.0599999999999996</v>
      </c>
      <c r="H8" t="s">
        <v>24</v>
      </c>
    </row>
    <row r="9" spans="1:16" x14ac:dyDescent="0.25">
      <c r="A9" s="1">
        <v>45420</v>
      </c>
      <c r="B9" t="s">
        <v>16</v>
      </c>
      <c r="C9" t="s">
        <v>18</v>
      </c>
      <c r="D9" t="s">
        <v>12</v>
      </c>
      <c r="E9">
        <v>1.01</v>
      </c>
      <c r="F9">
        <v>9.8699999999999992</v>
      </c>
      <c r="G9">
        <v>5.87</v>
      </c>
      <c r="H9" t="s">
        <v>24</v>
      </c>
    </row>
    <row r="10" spans="1:16" x14ac:dyDescent="0.25">
      <c r="A10" s="1">
        <v>45420</v>
      </c>
      <c r="B10" t="s">
        <v>16</v>
      </c>
      <c r="C10" t="s">
        <v>18</v>
      </c>
      <c r="D10" t="s">
        <v>14</v>
      </c>
      <c r="H10" t="s">
        <v>24</v>
      </c>
      <c r="I10" t="s">
        <v>15</v>
      </c>
      <c r="J10" t="s">
        <v>20</v>
      </c>
    </row>
    <row r="11" spans="1:16" x14ac:dyDescent="0.25">
      <c r="A11" s="1">
        <v>45420</v>
      </c>
      <c r="B11" t="s">
        <v>16</v>
      </c>
      <c r="C11" t="s">
        <v>19</v>
      </c>
      <c r="D11" t="s">
        <v>10</v>
      </c>
      <c r="E11">
        <v>1.01</v>
      </c>
      <c r="F11">
        <v>12.18</v>
      </c>
      <c r="G11">
        <v>6.68</v>
      </c>
      <c r="H11" t="s">
        <v>25</v>
      </c>
    </row>
    <row r="12" spans="1:16" x14ac:dyDescent="0.25">
      <c r="A12" s="1">
        <v>45420</v>
      </c>
      <c r="B12" t="s">
        <v>16</v>
      </c>
      <c r="C12" t="s">
        <v>19</v>
      </c>
      <c r="D12" t="s">
        <v>11</v>
      </c>
      <c r="E12">
        <v>1.02</v>
      </c>
      <c r="F12">
        <v>11.12</v>
      </c>
      <c r="G12">
        <v>6.02</v>
      </c>
      <c r="H12" t="s">
        <v>25</v>
      </c>
      <c r="N12">
        <f>F11/G11</f>
        <v>1.8233532934131738</v>
      </c>
    </row>
    <row r="13" spans="1:16" x14ac:dyDescent="0.25">
      <c r="A13" s="1">
        <v>45420</v>
      </c>
      <c r="B13" t="s">
        <v>16</v>
      </c>
      <c r="C13" t="s">
        <v>19</v>
      </c>
      <c r="D13" t="s">
        <v>13</v>
      </c>
      <c r="E13">
        <v>1.04</v>
      </c>
      <c r="F13">
        <v>10.8</v>
      </c>
      <c r="G13">
        <v>6.73</v>
      </c>
      <c r="H13" t="s">
        <v>25</v>
      </c>
      <c r="N13">
        <f t="shared" ref="N13:N14" si="0">F12/G12</f>
        <v>1.8471760797342194</v>
      </c>
      <c r="P13">
        <f>AVERAGE(N12:N14)</f>
        <v>1.7584280674235739</v>
      </c>
    </row>
    <row r="14" spans="1:16" x14ac:dyDescent="0.25">
      <c r="A14" s="1">
        <v>45420</v>
      </c>
      <c r="B14" t="s">
        <v>16</v>
      </c>
      <c r="C14" t="s">
        <v>19</v>
      </c>
      <c r="D14" t="s">
        <v>14</v>
      </c>
      <c r="E14">
        <v>1.03</v>
      </c>
      <c r="F14" s="2">
        <f>G14*P13</f>
        <v>11.236355350836638</v>
      </c>
      <c r="G14">
        <v>6.39</v>
      </c>
      <c r="H14" t="s">
        <v>25</v>
      </c>
      <c r="N14">
        <f t="shared" si="0"/>
        <v>1.6047548291233285</v>
      </c>
    </row>
    <row r="15" spans="1:16" x14ac:dyDescent="0.25">
      <c r="A15" s="1">
        <v>45420</v>
      </c>
      <c r="B15" t="s">
        <v>16</v>
      </c>
      <c r="C15" t="s">
        <v>19</v>
      </c>
      <c r="D15" t="s">
        <v>12</v>
      </c>
      <c r="H15" t="s">
        <v>25</v>
      </c>
      <c r="I15" t="s">
        <v>21</v>
      </c>
    </row>
    <row r="16" spans="1:16" x14ac:dyDescent="0.25">
      <c r="A16" s="1">
        <v>45420</v>
      </c>
      <c r="B16" t="s">
        <v>16</v>
      </c>
      <c r="C16" t="s">
        <v>31</v>
      </c>
      <c r="D16" t="s">
        <v>10</v>
      </c>
      <c r="E16">
        <v>1.03</v>
      </c>
      <c r="F16">
        <v>10.96</v>
      </c>
      <c r="G16">
        <v>6.14</v>
      </c>
      <c r="H16" t="s">
        <v>26</v>
      </c>
    </row>
    <row r="17" spans="1:10" x14ac:dyDescent="0.25">
      <c r="A17" s="1">
        <v>45420</v>
      </c>
      <c r="B17" t="s">
        <v>16</v>
      </c>
      <c r="C17" t="s">
        <v>31</v>
      </c>
      <c r="D17" t="s">
        <v>11</v>
      </c>
      <c r="E17">
        <v>1.01</v>
      </c>
      <c r="F17">
        <v>11.54</v>
      </c>
      <c r="G17">
        <v>6.56</v>
      </c>
      <c r="H17" t="s">
        <v>26</v>
      </c>
    </row>
    <row r="18" spans="1:10" x14ac:dyDescent="0.25">
      <c r="A18" s="1">
        <v>45420</v>
      </c>
      <c r="B18" t="s">
        <v>16</v>
      </c>
      <c r="C18" t="s">
        <v>31</v>
      </c>
      <c r="D18" t="s">
        <v>12</v>
      </c>
      <c r="E18">
        <v>1.06</v>
      </c>
      <c r="F18">
        <v>12.32</v>
      </c>
      <c r="G18">
        <v>6.72</v>
      </c>
      <c r="H18" t="s">
        <v>26</v>
      </c>
    </row>
    <row r="19" spans="1:10" x14ac:dyDescent="0.25">
      <c r="A19" s="1">
        <v>45420</v>
      </c>
      <c r="B19" t="s">
        <v>16</v>
      </c>
      <c r="C19" t="s">
        <v>31</v>
      </c>
      <c r="D19" t="s">
        <v>14</v>
      </c>
      <c r="E19">
        <v>1.03</v>
      </c>
      <c r="F19">
        <v>9.7899999999999991</v>
      </c>
      <c r="G19">
        <v>6.45</v>
      </c>
      <c r="H19" t="s">
        <v>26</v>
      </c>
    </row>
    <row r="20" spans="1:10" x14ac:dyDescent="0.25">
      <c r="A20" s="1">
        <v>45421</v>
      </c>
      <c r="B20" t="s">
        <v>16</v>
      </c>
      <c r="C20" t="s">
        <v>32</v>
      </c>
      <c r="D20" t="s">
        <v>11</v>
      </c>
      <c r="E20">
        <v>1.02</v>
      </c>
      <c r="F20">
        <v>11.19</v>
      </c>
      <c r="G20">
        <v>6.28</v>
      </c>
      <c r="H20" t="s">
        <v>27</v>
      </c>
    </row>
    <row r="21" spans="1:10" x14ac:dyDescent="0.25">
      <c r="A21" s="1">
        <v>45421</v>
      </c>
      <c r="B21" t="s">
        <v>16</v>
      </c>
      <c r="C21" t="s">
        <v>32</v>
      </c>
      <c r="D21" t="s">
        <v>12</v>
      </c>
      <c r="E21">
        <v>1.02</v>
      </c>
      <c r="F21">
        <v>12.16</v>
      </c>
      <c r="G21">
        <v>6.46</v>
      </c>
      <c r="H21" t="s">
        <v>27</v>
      </c>
    </row>
    <row r="22" spans="1:10" x14ac:dyDescent="0.25">
      <c r="A22" s="1">
        <v>45421</v>
      </c>
      <c r="B22" t="s">
        <v>16</v>
      </c>
      <c r="C22" t="s">
        <v>32</v>
      </c>
      <c r="D22" t="s">
        <v>13</v>
      </c>
      <c r="E22">
        <v>1</v>
      </c>
      <c r="F22">
        <v>11.76</v>
      </c>
      <c r="G22">
        <v>6.63</v>
      </c>
      <c r="H22" t="s">
        <v>27</v>
      </c>
    </row>
    <row r="23" spans="1:10" x14ac:dyDescent="0.25">
      <c r="A23" s="1">
        <v>45421</v>
      </c>
      <c r="B23" t="s">
        <v>16</v>
      </c>
      <c r="C23" t="s">
        <v>32</v>
      </c>
      <c r="D23" t="s">
        <v>14</v>
      </c>
      <c r="E23">
        <v>1.02</v>
      </c>
      <c r="F23">
        <v>13.36</v>
      </c>
      <c r="G23">
        <v>6.87</v>
      </c>
      <c r="H23" t="s">
        <v>27</v>
      </c>
    </row>
    <row r="24" spans="1:10" x14ac:dyDescent="0.25">
      <c r="A24" s="1">
        <v>45421</v>
      </c>
      <c r="B24" t="s">
        <v>16</v>
      </c>
      <c r="C24" t="s">
        <v>33</v>
      </c>
      <c r="D24" t="s">
        <v>10</v>
      </c>
      <c r="E24">
        <v>1</v>
      </c>
      <c r="F24">
        <v>11.44</v>
      </c>
      <c r="G24">
        <v>6.39</v>
      </c>
      <c r="H24" t="s">
        <v>28</v>
      </c>
    </row>
    <row r="25" spans="1:10" x14ac:dyDescent="0.25">
      <c r="A25" s="1">
        <v>45421</v>
      </c>
      <c r="B25" t="s">
        <v>16</v>
      </c>
      <c r="C25" t="s">
        <v>33</v>
      </c>
      <c r="D25" t="s">
        <v>11</v>
      </c>
      <c r="E25">
        <v>1.02</v>
      </c>
      <c r="F25">
        <v>10.31</v>
      </c>
      <c r="G25">
        <v>6.39</v>
      </c>
      <c r="H25" t="s">
        <v>28</v>
      </c>
    </row>
    <row r="26" spans="1:10" x14ac:dyDescent="0.25">
      <c r="A26" s="1">
        <v>45421</v>
      </c>
      <c r="B26" t="s">
        <v>16</v>
      </c>
      <c r="C26" t="s">
        <v>33</v>
      </c>
      <c r="D26" t="s">
        <v>12</v>
      </c>
      <c r="E26">
        <v>1.02</v>
      </c>
      <c r="F26">
        <v>12.21</v>
      </c>
      <c r="G26">
        <v>6.66</v>
      </c>
      <c r="H26" t="s">
        <v>28</v>
      </c>
    </row>
    <row r="27" spans="1:10" x14ac:dyDescent="0.25">
      <c r="A27" s="1">
        <v>45421</v>
      </c>
      <c r="B27" t="s">
        <v>16</v>
      </c>
      <c r="C27" t="s">
        <v>33</v>
      </c>
      <c r="D27" t="s">
        <v>13</v>
      </c>
      <c r="E27">
        <v>1.02</v>
      </c>
      <c r="F27">
        <v>12</v>
      </c>
      <c r="G27">
        <v>6.66</v>
      </c>
      <c r="H27" t="s">
        <v>28</v>
      </c>
    </row>
    <row r="28" spans="1:10" x14ac:dyDescent="0.25">
      <c r="A28" s="1">
        <v>45421</v>
      </c>
      <c r="B28" t="s">
        <v>16</v>
      </c>
      <c r="C28" t="s">
        <v>34</v>
      </c>
      <c r="D28" t="s">
        <v>10</v>
      </c>
      <c r="E28">
        <v>1.01</v>
      </c>
      <c r="F28">
        <v>11.3</v>
      </c>
      <c r="G28">
        <v>6.27</v>
      </c>
      <c r="H28" t="s">
        <v>29</v>
      </c>
    </row>
    <row r="29" spans="1:10" x14ac:dyDescent="0.25">
      <c r="A29" s="1">
        <v>45421</v>
      </c>
      <c r="B29" t="s">
        <v>16</v>
      </c>
      <c r="C29" t="s">
        <v>34</v>
      </c>
      <c r="D29" t="s">
        <v>11</v>
      </c>
      <c r="E29">
        <v>1.02</v>
      </c>
      <c r="F29">
        <v>11.57</v>
      </c>
      <c r="G29">
        <v>6.4</v>
      </c>
      <c r="H29" t="s">
        <v>29</v>
      </c>
    </row>
    <row r="30" spans="1:10" x14ac:dyDescent="0.25">
      <c r="A30" s="1">
        <v>45421</v>
      </c>
      <c r="B30" t="s">
        <v>16</v>
      </c>
      <c r="C30" t="s">
        <v>34</v>
      </c>
      <c r="D30" t="s">
        <v>12</v>
      </c>
      <c r="E30">
        <v>1</v>
      </c>
      <c r="F30">
        <v>4.08</v>
      </c>
      <c r="G30">
        <v>1.99</v>
      </c>
      <c r="H30" t="s">
        <v>29</v>
      </c>
      <c r="I30" t="s">
        <v>15</v>
      </c>
      <c r="J30" t="s">
        <v>22</v>
      </c>
    </row>
    <row r="31" spans="1:10" x14ac:dyDescent="0.25">
      <c r="A31" s="1">
        <v>45421</v>
      </c>
      <c r="B31" t="s">
        <v>16</v>
      </c>
      <c r="C31" t="s">
        <v>34</v>
      </c>
      <c r="D31" t="s">
        <v>13</v>
      </c>
      <c r="E31">
        <v>1.05</v>
      </c>
      <c r="F31">
        <v>12</v>
      </c>
      <c r="G31">
        <v>6.51</v>
      </c>
      <c r="H31" t="s">
        <v>29</v>
      </c>
    </row>
    <row r="32" spans="1:10" x14ac:dyDescent="0.25">
      <c r="A32" s="1">
        <v>45421</v>
      </c>
      <c r="B32" t="s">
        <v>16</v>
      </c>
      <c r="C32" t="s">
        <v>34</v>
      </c>
      <c r="D32" t="s">
        <v>14</v>
      </c>
      <c r="E32">
        <v>1.05</v>
      </c>
      <c r="F32">
        <v>12.17</v>
      </c>
      <c r="G32">
        <v>6.42</v>
      </c>
      <c r="H32" t="s">
        <v>29</v>
      </c>
    </row>
    <row r="33" spans="1:10" x14ac:dyDescent="0.25">
      <c r="A33" s="1">
        <v>45421</v>
      </c>
      <c r="B33" t="s">
        <v>16</v>
      </c>
      <c r="C33" t="s">
        <v>35</v>
      </c>
      <c r="D33" t="s">
        <v>13</v>
      </c>
      <c r="E33">
        <v>1.06</v>
      </c>
      <c r="F33">
        <v>9.27</v>
      </c>
      <c r="J33" t="s">
        <v>30</v>
      </c>
    </row>
    <row r="34" spans="1:10" x14ac:dyDescent="0.25">
      <c r="A34" s="1"/>
    </row>
    <row r="35" spans="1:10" x14ac:dyDescent="0.25">
      <c r="A35" s="1"/>
    </row>
    <row r="36" spans="1:10" x14ac:dyDescent="0.25">
      <c r="A36" s="1"/>
    </row>
    <row r="37" spans="1:10" x14ac:dyDescent="0.25">
      <c r="A37" s="1"/>
    </row>
    <row r="38" spans="1:10" x14ac:dyDescent="0.25">
      <c r="A38" s="1"/>
    </row>
    <row r="39" spans="1:10" x14ac:dyDescent="0.25">
      <c r="A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2024-11-17T22:01:48Z</dcterms:created>
  <dcterms:modified xsi:type="dcterms:W3CDTF">2025-04-17T01:58:57Z</dcterms:modified>
</cp:coreProperties>
</file>