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Stoich/CN_Faizun/"/>
    </mc:Choice>
  </mc:AlternateContent>
  <xr:revisionPtr revIDLastSave="1" documentId="11_00DD28796FCA5B10ECA57A49203A1E2BE93370BA" xr6:coauthVersionLast="47" xr6:coauthVersionMax="47" xr10:uidLastSave="{43A79DD5-B1C3-462E-8FA8-EB45C1E441B6}"/>
  <bookViews>
    <workbookView xWindow="28680" yWindow="-120" windowWidth="29040" windowHeight="15990" activeTab="2" xr2:uid="{00000000-000D-0000-FFFF-FFFF00000000}"/>
  </bookViews>
  <sheets>
    <sheet name="Wagga_Spike" sheetId="1" r:id="rId1"/>
    <sheet name="Kuringgai_Spike" sheetId="3" r:id="rId2"/>
    <sheet name="MER_Spik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5" i="1"/>
  <c r="L6" i="1"/>
  <c r="L7" i="1"/>
  <c r="L4" i="1"/>
  <c r="L3" i="1"/>
</calcChain>
</file>

<file path=xl/sharedStrings.xml><?xml version="1.0" encoding="utf-8"?>
<sst xmlns="http://schemas.openxmlformats.org/spreadsheetml/2006/main" count="142" uniqueCount="104">
  <si>
    <t>20 samples to be spiked</t>
  </si>
  <si>
    <t>Actual</t>
  </si>
  <si>
    <t>Sample no</t>
  </si>
  <si>
    <t>Tube_ID</t>
  </si>
  <si>
    <t>weight_mg</t>
  </si>
  <si>
    <t>Plate_ID</t>
  </si>
  <si>
    <t>C_Spike</t>
  </si>
  <si>
    <t>N_Spike</t>
  </si>
  <si>
    <t>Total</t>
  </si>
  <si>
    <t>W1</t>
  </si>
  <si>
    <t>A1</t>
  </si>
  <si>
    <t>W7</t>
  </si>
  <si>
    <t>A4</t>
  </si>
  <si>
    <t>W8</t>
  </si>
  <si>
    <t>A5</t>
  </si>
  <si>
    <t>W10</t>
  </si>
  <si>
    <t>A7</t>
  </si>
  <si>
    <t>W12</t>
  </si>
  <si>
    <t>A8</t>
  </si>
  <si>
    <t>W16</t>
  </si>
  <si>
    <t>A11</t>
  </si>
  <si>
    <t>W17</t>
  </si>
  <si>
    <t>A12</t>
  </si>
  <si>
    <t>W19</t>
  </si>
  <si>
    <t>B1</t>
  </si>
  <si>
    <t>W21</t>
  </si>
  <si>
    <t>B3</t>
  </si>
  <si>
    <t>W23</t>
  </si>
  <si>
    <t>B5</t>
  </si>
  <si>
    <t>W24</t>
  </si>
  <si>
    <t>B6</t>
  </si>
  <si>
    <t>W26</t>
  </si>
  <si>
    <t>B7</t>
  </si>
  <si>
    <t>W28</t>
  </si>
  <si>
    <t>B8</t>
  </si>
  <si>
    <t>W29</t>
  </si>
  <si>
    <t>B9</t>
  </si>
  <si>
    <t>W30</t>
  </si>
  <si>
    <t>B10</t>
  </si>
  <si>
    <t>W32</t>
  </si>
  <si>
    <t>B12</t>
  </si>
  <si>
    <t>W34</t>
  </si>
  <si>
    <t>C2</t>
  </si>
  <si>
    <t>W37</t>
  </si>
  <si>
    <t>C5</t>
  </si>
  <si>
    <t>W39</t>
  </si>
  <si>
    <t>C7</t>
  </si>
  <si>
    <t>W43</t>
  </si>
  <si>
    <t>C11</t>
  </si>
  <si>
    <t>20 spiked samples</t>
  </si>
  <si>
    <t>Spike</t>
  </si>
  <si>
    <t>WS3</t>
  </si>
  <si>
    <t>WS5</t>
  </si>
  <si>
    <t>A6</t>
  </si>
  <si>
    <t>WS8</t>
  </si>
  <si>
    <t>6A</t>
  </si>
  <si>
    <t>A9</t>
  </si>
  <si>
    <t>8A</t>
  </si>
  <si>
    <t>A10</t>
  </si>
  <si>
    <t>Q1</t>
  </si>
  <si>
    <t>Q3</t>
  </si>
  <si>
    <t>W25</t>
  </si>
  <si>
    <t>WT09</t>
  </si>
  <si>
    <t>B2</t>
  </si>
  <si>
    <t>WT11</t>
  </si>
  <si>
    <t>B4</t>
  </si>
  <si>
    <t>WT12</t>
  </si>
  <si>
    <t>WT14</t>
  </si>
  <si>
    <t>WT16</t>
  </si>
  <si>
    <t>WA03</t>
  </si>
  <si>
    <t>VC15</t>
  </si>
  <si>
    <t>C1</t>
  </si>
  <si>
    <t>VC16</t>
  </si>
  <si>
    <t>VC01</t>
  </si>
  <si>
    <t>C6</t>
  </si>
  <si>
    <t>VC06</t>
  </si>
  <si>
    <t>VC07</t>
  </si>
  <si>
    <t>C12</t>
  </si>
  <si>
    <t>CN_wt</t>
  </si>
  <si>
    <t>CN_ID</t>
  </si>
  <si>
    <t>D3</t>
  </si>
  <si>
    <t>D4</t>
  </si>
  <si>
    <t>D6</t>
  </si>
  <si>
    <t>D8</t>
  </si>
  <si>
    <t>D9</t>
  </si>
  <si>
    <t>D12</t>
  </si>
  <si>
    <t>E7</t>
  </si>
  <si>
    <t>E9</t>
  </si>
  <si>
    <t>E11</t>
  </si>
  <si>
    <t>E12</t>
  </si>
  <si>
    <t>F1</t>
  </si>
  <si>
    <t>F3</t>
  </si>
  <si>
    <t>G5</t>
  </si>
  <si>
    <t>G6</t>
  </si>
  <si>
    <t>G8</t>
  </si>
  <si>
    <t>G10</t>
  </si>
  <si>
    <t>H2</t>
  </si>
  <si>
    <t>H4</t>
  </si>
  <si>
    <t>H11</t>
  </si>
  <si>
    <t>H12</t>
  </si>
  <si>
    <t>25 spiked samples</t>
  </si>
  <si>
    <t>N%</t>
  </si>
  <si>
    <t>C%</t>
  </si>
  <si>
    <t>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</si>
</sst>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3" borderId="0" xfId="0" applyFill="1" applyAlignment="1">
      <alignment horizontal="center"/>
    </xf>
    <xf numFmtId="0" fontId="0" fillId="0" borderId="1" xfId="0" applyBorder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Fill="1"/>
    <xf numFmtId="164" fontId="1" fillId="0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F28" sqref="F28"/>
    </sheetView>
  </sheetViews>
  <sheetFormatPr defaultRowHeight="15" x14ac:dyDescent="0.25"/>
  <cols>
    <col min="1" max="1" width="10.140625" style="12" customWidth="1"/>
    <col min="2" max="2" width="8.7109375" style="11"/>
    <col min="3" max="3" width="11.5703125" style="11" customWidth="1"/>
    <col min="4" max="4" width="8.85546875" style="11" customWidth="1"/>
    <col min="5" max="5" width="8.7109375" style="11"/>
    <col min="6" max="7" width="9.140625" style="12"/>
    <col min="8" max="9" width="6.140625" style="12" customWidth="1"/>
    <col min="10" max="11" width="7" style="12" customWidth="1"/>
    <col min="12" max="12" width="8.85546875" style="12" customWidth="1"/>
    <col min="13" max="13" width="6.140625" style="12" customWidth="1"/>
    <col min="14" max="16384" width="9.140625" style="12"/>
  </cols>
  <sheetData>
    <row r="1" spans="1:12" x14ac:dyDescent="0.25">
      <c r="B1" s="12" t="s">
        <v>0</v>
      </c>
      <c r="H1" s="13"/>
      <c r="J1" s="21" t="s">
        <v>1</v>
      </c>
      <c r="K1" s="21"/>
      <c r="L1" s="21"/>
    </row>
    <row r="2" spans="1:12" x14ac:dyDescent="0.25">
      <c r="A2" s="12" t="s">
        <v>2</v>
      </c>
      <c r="B2" s="11" t="s">
        <v>3</v>
      </c>
      <c r="C2" s="11" t="s">
        <v>4</v>
      </c>
      <c r="D2" s="11" t="s">
        <v>5</v>
      </c>
      <c r="E2" s="14" t="s">
        <v>101</v>
      </c>
      <c r="F2" s="14" t="s">
        <v>102</v>
      </c>
      <c r="G2" s="14" t="s">
        <v>103</v>
      </c>
      <c r="H2" s="13"/>
      <c r="J2" s="15" t="s">
        <v>6</v>
      </c>
      <c r="K2" s="15" t="s">
        <v>7</v>
      </c>
      <c r="L2" s="12" t="s">
        <v>8</v>
      </c>
    </row>
    <row r="3" spans="1:12" x14ac:dyDescent="0.25">
      <c r="A3" s="12">
        <v>1</v>
      </c>
      <c r="B3" s="11" t="s">
        <v>9</v>
      </c>
      <c r="C3" s="11">
        <v>0.443</v>
      </c>
      <c r="D3" s="11" t="s">
        <v>10</v>
      </c>
      <c r="E3" s="18">
        <v>7.6094999999999997</v>
      </c>
      <c r="F3" s="18">
        <v>12.939299999999999</v>
      </c>
      <c r="G3" s="18">
        <v>3.3090000000000002</v>
      </c>
      <c r="H3" s="13"/>
      <c r="J3" s="15">
        <v>4.0380000000000003</v>
      </c>
      <c r="K3" s="15">
        <v>2.1989999999999998</v>
      </c>
      <c r="L3" s="15">
        <f t="shared" ref="L3:L22" si="0">(C3+J3+K3)</f>
        <v>6.68</v>
      </c>
    </row>
    <row r="4" spans="1:12" x14ac:dyDescent="0.25">
      <c r="A4" s="12">
        <v>2</v>
      </c>
      <c r="B4" s="11" t="s">
        <v>11</v>
      </c>
      <c r="C4" s="11">
        <v>0.13700000000000001</v>
      </c>
      <c r="D4" s="11" t="s">
        <v>12</v>
      </c>
      <c r="E4" s="18">
        <v>7.4382000000000001</v>
      </c>
      <c r="F4" s="18">
        <v>11.0281</v>
      </c>
      <c r="G4" s="18">
        <v>3.0009999999999999</v>
      </c>
      <c r="H4" s="13"/>
      <c r="J4" s="15">
        <v>4.2699999999999996</v>
      </c>
      <c r="K4" s="15">
        <v>2.1819999999999999</v>
      </c>
      <c r="L4" s="15">
        <f t="shared" si="0"/>
        <v>6.5890000000000004</v>
      </c>
    </row>
    <row r="5" spans="1:12" x14ac:dyDescent="0.25">
      <c r="A5" s="12">
        <v>3</v>
      </c>
      <c r="B5" s="11" t="s">
        <v>13</v>
      </c>
      <c r="C5" s="11">
        <v>0.68300000000000005</v>
      </c>
      <c r="D5" s="11" t="s">
        <v>14</v>
      </c>
      <c r="E5" s="18">
        <v>7.6125999999999996</v>
      </c>
      <c r="F5" s="18">
        <v>14.3047</v>
      </c>
      <c r="G5" s="18">
        <v>3.5</v>
      </c>
      <c r="J5" s="15">
        <v>3.8319999999999999</v>
      </c>
      <c r="K5" s="15">
        <v>2.1880000000000002</v>
      </c>
      <c r="L5" s="15">
        <f t="shared" si="0"/>
        <v>6.7029999999999994</v>
      </c>
    </row>
    <row r="6" spans="1:12" x14ac:dyDescent="0.25">
      <c r="A6" s="12">
        <v>4</v>
      </c>
      <c r="B6" s="11" t="s">
        <v>15</v>
      </c>
      <c r="C6" s="11">
        <v>0.371</v>
      </c>
      <c r="D6" s="11" t="s">
        <v>16</v>
      </c>
      <c r="E6" s="18">
        <v>7.3411999999999997</v>
      </c>
      <c r="F6" s="18">
        <v>12.316000000000001</v>
      </c>
      <c r="G6" s="18">
        <v>3.1539999999999999</v>
      </c>
      <c r="J6" s="15">
        <v>4.2119999999999997</v>
      </c>
      <c r="K6" s="15">
        <v>2.1970000000000001</v>
      </c>
      <c r="L6" s="15">
        <f t="shared" si="0"/>
        <v>6.78</v>
      </c>
    </row>
    <row r="7" spans="1:12" x14ac:dyDescent="0.25">
      <c r="A7" s="12">
        <v>5</v>
      </c>
      <c r="B7" s="11" t="s">
        <v>17</v>
      </c>
      <c r="C7" s="11">
        <v>0.53600000000000003</v>
      </c>
      <c r="D7" s="11" t="s">
        <v>18</v>
      </c>
      <c r="E7" s="18">
        <v>7.6341000000000001</v>
      </c>
      <c r="F7" s="18">
        <v>13.9396</v>
      </c>
      <c r="G7" s="18">
        <v>3.387</v>
      </c>
      <c r="J7" s="15">
        <v>3.9790000000000001</v>
      </c>
      <c r="K7" s="15">
        <v>2.1640000000000001</v>
      </c>
      <c r="L7" s="15">
        <f t="shared" si="0"/>
        <v>6.6790000000000003</v>
      </c>
    </row>
    <row r="8" spans="1:12" x14ac:dyDescent="0.25">
      <c r="A8" s="12">
        <v>6</v>
      </c>
      <c r="B8" s="11" t="s">
        <v>19</v>
      </c>
      <c r="C8" s="11">
        <v>0.5</v>
      </c>
      <c r="D8" s="11" t="s">
        <v>20</v>
      </c>
      <c r="E8" s="18">
        <v>7.7480000000000002</v>
      </c>
      <c r="F8" s="18">
        <v>13.130100000000001</v>
      </c>
      <c r="G8" s="18">
        <v>3.3610000000000002</v>
      </c>
      <c r="J8" s="15">
        <v>3.9569999999999999</v>
      </c>
      <c r="K8" s="15">
        <v>2.2280000000000002</v>
      </c>
      <c r="L8" s="15">
        <f t="shared" si="0"/>
        <v>6.6850000000000005</v>
      </c>
    </row>
    <row r="9" spans="1:12" x14ac:dyDescent="0.25">
      <c r="A9" s="12">
        <v>7</v>
      </c>
      <c r="B9" s="11" t="s">
        <v>21</v>
      </c>
      <c r="C9" s="11">
        <v>0.30099999999999999</v>
      </c>
      <c r="D9" s="11" t="s">
        <v>22</v>
      </c>
      <c r="E9" s="18">
        <v>7.32</v>
      </c>
      <c r="F9" s="18">
        <v>12.180099999999999</v>
      </c>
      <c r="G9" s="18">
        <v>3.101</v>
      </c>
      <c r="J9" s="15">
        <v>4.29</v>
      </c>
      <c r="K9" s="15">
        <v>2.1859999999999999</v>
      </c>
      <c r="L9" s="15">
        <f t="shared" si="0"/>
        <v>6.7770000000000001</v>
      </c>
    </row>
    <row r="10" spans="1:12" x14ac:dyDescent="0.25">
      <c r="A10" s="12">
        <v>8</v>
      </c>
      <c r="B10" s="11" t="s">
        <v>23</v>
      </c>
      <c r="C10" s="11">
        <v>0.495</v>
      </c>
      <c r="D10" s="11" t="s">
        <v>24</v>
      </c>
      <c r="E10" s="18">
        <v>7.59</v>
      </c>
      <c r="F10" s="18">
        <v>13.5032</v>
      </c>
      <c r="G10" s="18">
        <v>3.36</v>
      </c>
      <c r="J10" s="15">
        <v>3.9910000000000001</v>
      </c>
      <c r="K10" s="15">
        <v>2.1880000000000002</v>
      </c>
      <c r="L10" s="15">
        <f t="shared" si="0"/>
        <v>6.6739999999999995</v>
      </c>
    </row>
    <row r="11" spans="1:12" x14ac:dyDescent="0.25">
      <c r="A11" s="12">
        <v>9</v>
      </c>
      <c r="B11" s="11" t="s">
        <v>25</v>
      </c>
      <c r="C11" s="11">
        <v>0.79800000000000004</v>
      </c>
      <c r="D11" s="11" t="s">
        <v>26</v>
      </c>
      <c r="E11" s="18">
        <v>7.8728999999999996</v>
      </c>
      <c r="F11" s="18">
        <v>15.1873</v>
      </c>
      <c r="G11" s="18">
        <v>3.6509999999999998</v>
      </c>
      <c r="J11" s="15">
        <v>3.7320000000000002</v>
      </c>
      <c r="K11" s="15">
        <v>2.2210000000000001</v>
      </c>
      <c r="L11" s="15">
        <f t="shared" si="0"/>
        <v>6.7510000000000003</v>
      </c>
    </row>
    <row r="12" spans="1:12" x14ac:dyDescent="0.25">
      <c r="A12" s="12">
        <v>10</v>
      </c>
      <c r="B12" s="11" t="s">
        <v>27</v>
      </c>
      <c r="C12" s="11">
        <v>0.67300000000000004</v>
      </c>
      <c r="D12" s="11" t="s">
        <v>28</v>
      </c>
      <c r="E12" s="18">
        <v>7.8928000000000003</v>
      </c>
      <c r="F12" s="18">
        <v>13.9162</v>
      </c>
      <c r="G12" s="18">
        <v>3.5139999999999998</v>
      </c>
      <c r="J12" s="15">
        <v>3.7850000000000001</v>
      </c>
      <c r="K12" s="15">
        <v>2.2389999999999999</v>
      </c>
      <c r="L12" s="15">
        <f t="shared" si="0"/>
        <v>6.6970000000000001</v>
      </c>
    </row>
    <row r="13" spans="1:12" x14ac:dyDescent="0.25">
      <c r="A13" s="12">
        <v>11</v>
      </c>
      <c r="B13" s="11" t="s">
        <v>29</v>
      </c>
      <c r="C13" s="11">
        <v>0.46400000000000002</v>
      </c>
      <c r="D13" s="11" t="s">
        <v>30</v>
      </c>
      <c r="E13" s="18">
        <v>7.6458000000000004</v>
      </c>
      <c r="F13" s="18">
        <v>12.9648</v>
      </c>
      <c r="G13" s="18">
        <v>3.2850000000000001</v>
      </c>
      <c r="J13" s="15">
        <v>4.0339999999999998</v>
      </c>
      <c r="K13" s="15">
        <v>2.1909999999999998</v>
      </c>
      <c r="L13" s="15">
        <f t="shared" si="0"/>
        <v>6.6890000000000001</v>
      </c>
    </row>
    <row r="14" spans="1:12" x14ac:dyDescent="0.25">
      <c r="A14" s="12">
        <v>12</v>
      </c>
      <c r="B14" s="11" t="s">
        <v>31</v>
      </c>
      <c r="C14" s="11">
        <v>0.51500000000000001</v>
      </c>
      <c r="D14" s="11" t="s">
        <v>32</v>
      </c>
      <c r="E14" s="18">
        <v>7.8171999999999997</v>
      </c>
      <c r="F14" s="18">
        <v>13.2035</v>
      </c>
      <c r="G14" s="18">
        <v>3.3820000000000001</v>
      </c>
      <c r="J14" s="15">
        <v>3.9529999999999998</v>
      </c>
      <c r="K14" s="15">
        <v>2.2650000000000001</v>
      </c>
      <c r="L14" s="15">
        <f t="shared" si="0"/>
        <v>6.7330000000000005</v>
      </c>
    </row>
    <row r="15" spans="1:12" x14ac:dyDescent="0.25">
      <c r="A15" s="12">
        <v>13</v>
      </c>
      <c r="B15" s="11" t="s">
        <v>33</v>
      </c>
      <c r="C15" s="11">
        <v>0.22500000000000001</v>
      </c>
      <c r="D15" s="11" t="s">
        <v>34</v>
      </c>
      <c r="E15" s="18">
        <v>7.5231000000000003</v>
      </c>
      <c r="F15" s="18">
        <v>11.6426</v>
      </c>
      <c r="G15" s="18">
        <v>3.0710000000000002</v>
      </c>
      <c r="J15" s="15">
        <v>4.2350000000000003</v>
      </c>
      <c r="K15" s="15">
        <v>2.1640000000000001</v>
      </c>
      <c r="L15" s="15">
        <f t="shared" si="0"/>
        <v>6.6240000000000006</v>
      </c>
    </row>
    <row r="16" spans="1:12" x14ac:dyDescent="0.25">
      <c r="A16" s="12">
        <v>14</v>
      </c>
      <c r="B16" s="11" t="s">
        <v>35</v>
      </c>
      <c r="C16" s="11">
        <v>0.72799999999999998</v>
      </c>
      <c r="D16" s="11" t="s">
        <v>36</v>
      </c>
      <c r="E16" s="18">
        <v>7.8019999999999996</v>
      </c>
      <c r="F16" s="18">
        <v>14.386200000000001</v>
      </c>
      <c r="G16" s="18">
        <v>3.548</v>
      </c>
      <c r="J16" s="15">
        <v>3.8010000000000002</v>
      </c>
      <c r="K16" s="15">
        <v>2.2160000000000002</v>
      </c>
      <c r="L16" s="15">
        <f t="shared" si="0"/>
        <v>6.7450000000000001</v>
      </c>
    </row>
    <row r="17" spans="1:12" x14ac:dyDescent="0.25">
      <c r="A17" s="12">
        <v>15</v>
      </c>
      <c r="B17" s="11" t="s">
        <v>37</v>
      </c>
      <c r="C17" s="11">
        <v>0.501</v>
      </c>
      <c r="D17" s="11" t="s">
        <v>38</v>
      </c>
      <c r="E17" s="18">
        <v>7.4622000000000002</v>
      </c>
      <c r="F17" s="18">
        <v>13.311500000000001</v>
      </c>
      <c r="G17" s="18">
        <v>3.2639999999999998</v>
      </c>
      <c r="J17" s="15">
        <v>4.0970000000000004</v>
      </c>
      <c r="K17" s="15">
        <v>2.1880000000000002</v>
      </c>
      <c r="L17" s="15">
        <f t="shared" si="0"/>
        <v>6.7860000000000014</v>
      </c>
    </row>
    <row r="18" spans="1:12" x14ac:dyDescent="0.25">
      <c r="A18" s="12">
        <v>16</v>
      </c>
      <c r="B18" s="11" t="s">
        <v>39</v>
      </c>
      <c r="C18" s="11">
        <v>0.59</v>
      </c>
      <c r="D18" s="11" t="s">
        <v>40</v>
      </c>
      <c r="E18" s="18">
        <v>7.8756000000000004</v>
      </c>
      <c r="F18" s="18">
        <v>13.554600000000001</v>
      </c>
      <c r="G18" s="18">
        <v>3.4390000000000001</v>
      </c>
      <c r="J18" s="15">
        <v>3.8660000000000001</v>
      </c>
      <c r="K18" s="15">
        <v>2.2690000000000001</v>
      </c>
      <c r="L18" s="15">
        <f t="shared" si="0"/>
        <v>6.7250000000000005</v>
      </c>
    </row>
    <row r="19" spans="1:12" x14ac:dyDescent="0.25">
      <c r="A19" s="12">
        <v>17</v>
      </c>
      <c r="B19" s="11" t="s">
        <v>41</v>
      </c>
      <c r="C19" s="11">
        <v>0.60299999999999998</v>
      </c>
      <c r="D19" s="11" t="s">
        <v>42</v>
      </c>
      <c r="E19" s="18">
        <v>7.8258999999999999</v>
      </c>
      <c r="F19" s="18">
        <v>13.9682</v>
      </c>
      <c r="G19" s="18">
        <v>3.4849999999999999</v>
      </c>
      <c r="J19" s="15">
        <v>3.88</v>
      </c>
      <c r="K19" s="15">
        <v>2.234</v>
      </c>
      <c r="L19" s="15">
        <f t="shared" si="0"/>
        <v>6.7169999999999996</v>
      </c>
    </row>
    <row r="20" spans="1:12" x14ac:dyDescent="0.25">
      <c r="A20" s="12">
        <v>18</v>
      </c>
      <c r="B20" s="11" t="s">
        <v>43</v>
      </c>
      <c r="C20" s="11">
        <v>0.60899999999999999</v>
      </c>
      <c r="D20" s="11" t="s">
        <v>44</v>
      </c>
      <c r="E20" s="18">
        <v>7.5650000000000004</v>
      </c>
      <c r="F20" s="18">
        <v>13.2683</v>
      </c>
      <c r="G20" s="18">
        <v>3.351</v>
      </c>
      <c r="J20" s="15">
        <v>3.8559999999999999</v>
      </c>
      <c r="K20" s="15">
        <v>2.17</v>
      </c>
      <c r="L20" s="15">
        <f t="shared" si="0"/>
        <v>6.6349999999999998</v>
      </c>
    </row>
    <row r="21" spans="1:12" x14ac:dyDescent="0.25">
      <c r="A21" s="12">
        <v>19</v>
      </c>
      <c r="B21" s="11" t="s">
        <v>45</v>
      </c>
      <c r="C21" s="11">
        <v>0.81299999999999994</v>
      </c>
      <c r="D21" s="11" t="s">
        <v>46</v>
      </c>
      <c r="E21" s="18">
        <v>7.5519999999999996</v>
      </c>
      <c r="F21" s="18">
        <v>13.3911</v>
      </c>
      <c r="G21" s="18">
        <v>3.3580000000000001</v>
      </c>
      <c r="J21" s="15">
        <v>3.7509999999999999</v>
      </c>
      <c r="K21" s="15">
        <v>2.1739999999999999</v>
      </c>
      <c r="L21" s="15">
        <f t="shared" si="0"/>
        <v>6.7379999999999995</v>
      </c>
    </row>
    <row r="22" spans="1:12" x14ac:dyDescent="0.25">
      <c r="A22" s="12">
        <v>20</v>
      </c>
      <c r="B22" s="11" t="s">
        <v>47</v>
      </c>
      <c r="C22" s="11">
        <v>0.77100000000000002</v>
      </c>
      <c r="D22" s="11" t="s">
        <v>48</v>
      </c>
      <c r="E22" s="19">
        <v>7.8263999999999996</v>
      </c>
      <c r="F22" s="18">
        <v>14.596299999999999</v>
      </c>
      <c r="G22" s="18">
        <v>3.6120000000000001</v>
      </c>
      <c r="J22" s="15">
        <v>3.6560000000000001</v>
      </c>
      <c r="K22" s="15">
        <v>2.2189999999999999</v>
      </c>
      <c r="L22" s="15">
        <f t="shared" si="0"/>
        <v>6.6460000000000008</v>
      </c>
    </row>
  </sheetData>
  <mergeCells count="1">
    <mergeCell ref="J1:L1"/>
  </mergeCells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>
      <selection activeCell="G8" sqref="G8"/>
    </sheetView>
  </sheetViews>
  <sheetFormatPr defaultRowHeight="15" x14ac:dyDescent="0.25"/>
  <cols>
    <col min="1" max="1" width="10.28515625" customWidth="1"/>
    <col min="2" max="2" width="8.7109375" style="1"/>
    <col min="3" max="3" width="8.85546875" style="1" customWidth="1"/>
    <col min="4" max="5" width="8.7109375" style="1"/>
  </cols>
  <sheetData>
    <row r="1" spans="1:12" ht="21" customHeight="1" x14ac:dyDescent="0.25">
      <c r="B1" s="1" t="s">
        <v>100</v>
      </c>
      <c r="G1" s="2"/>
      <c r="H1" s="2"/>
      <c r="J1" s="22" t="s">
        <v>1</v>
      </c>
      <c r="K1" s="22"/>
      <c r="L1" s="22"/>
    </row>
    <row r="2" spans="1:12" x14ac:dyDescent="0.25">
      <c r="A2" t="s">
        <v>2</v>
      </c>
      <c r="B2" s="1" t="s">
        <v>3</v>
      </c>
      <c r="C2" s="1" t="s">
        <v>78</v>
      </c>
      <c r="D2" s="1" t="s">
        <v>79</v>
      </c>
      <c r="E2" s="1" t="s">
        <v>50</v>
      </c>
      <c r="F2" s="16" t="s">
        <v>101</v>
      </c>
      <c r="G2" s="2" t="s">
        <v>102</v>
      </c>
      <c r="H2" s="16" t="s">
        <v>103</v>
      </c>
      <c r="J2" s="3" t="s">
        <v>6</v>
      </c>
      <c r="K2" s="3" t="s">
        <v>7</v>
      </c>
      <c r="L2" s="3" t="s">
        <v>8</v>
      </c>
    </row>
    <row r="3" spans="1:12" x14ac:dyDescent="0.25">
      <c r="A3">
        <v>1</v>
      </c>
      <c r="B3" s="7">
        <v>71</v>
      </c>
      <c r="C3" s="8">
        <v>0.80700000000000005</v>
      </c>
      <c r="D3" s="1" t="s">
        <v>10</v>
      </c>
      <c r="E3" s="1">
        <v>1</v>
      </c>
      <c r="F3" s="17">
        <v>7.7717999999999998</v>
      </c>
      <c r="G3" s="17">
        <v>13.975899999999999</v>
      </c>
      <c r="H3" s="17">
        <v>3.5840000000000001</v>
      </c>
      <c r="J3" s="5">
        <v>3.734</v>
      </c>
      <c r="K3" s="5">
        <v>2.1960000000000002</v>
      </c>
      <c r="L3" s="5">
        <f t="shared" ref="L3:L27" si="0">C3+J3+K3</f>
        <v>6.7370000000000001</v>
      </c>
    </row>
    <row r="4" spans="1:12" x14ac:dyDescent="0.25">
      <c r="A4">
        <v>2</v>
      </c>
      <c r="B4" s="7">
        <v>75</v>
      </c>
      <c r="C4" s="8">
        <v>0.77600000000000002</v>
      </c>
      <c r="D4" s="1" t="s">
        <v>14</v>
      </c>
      <c r="E4" s="1">
        <v>1</v>
      </c>
      <c r="F4" s="17">
        <v>7.9515000000000002</v>
      </c>
      <c r="G4" s="17">
        <v>14.039099999999999</v>
      </c>
      <c r="H4" s="17">
        <v>3.4580000000000002</v>
      </c>
      <c r="J4" s="5">
        <v>3.7360000000000002</v>
      </c>
      <c r="K4" s="5">
        <v>2.202</v>
      </c>
      <c r="L4" s="5">
        <f t="shared" si="0"/>
        <v>6.7140000000000004</v>
      </c>
    </row>
    <row r="5" spans="1:12" x14ac:dyDescent="0.25">
      <c r="A5">
        <v>3</v>
      </c>
      <c r="B5" s="7">
        <v>77</v>
      </c>
      <c r="C5" s="8">
        <v>0.375</v>
      </c>
      <c r="D5" s="1" t="s">
        <v>53</v>
      </c>
      <c r="E5" s="1">
        <v>1</v>
      </c>
      <c r="F5" s="17">
        <v>7.5830000000000002</v>
      </c>
      <c r="G5" s="17">
        <v>12.0242</v>
      </c>
      <c r="H5" s="17">
        <v>3.11</v>
      </c>
      <c r="J5" s="5">
        <v>4.1420000000000003</v>
      </c>
      <c r="K5" s="5">
        <v>2.1680000000000001</v>
      </c>
      <c r="L5" s="5">
        <f t="shared" si="0"/>
        <v>6.6850000000000005</v>
      </c>
    </row>
    <row r="6" spans="1:12" x14ac:dyDescent="0.25">
      <c r="A6">
        <v>4</v>
      </c>
      <c r="B6" s="7">
        <v>79</v>
      </c>
      <c r="C6" s="8">
        <v>0.83299999999999996</v>
      </c>
      <c r="D6" s="1" t="s">
        <v>18</v>
      </c>
      <c r="E6" s="1">
        <v>1</v>
      </c>
      <c r="F6" s="17">
        <v>7.8243999999999998</v>
      </c>
      <c r="G6" s="17">
        <v>13.6469</v>
      </c>
      <c r="H6" s="17">
        <v>3.33</v>
      </c>
      <c r="J6" s="5">
        <v>3.7040000000000002</v>
      </c>
      <c r="K6" s="5">
        <v>2.145</v>
      </c>
      <c r="L6" s="5">
        <f t="shared" si="0"/>
        <v>6.6820000000000004</v>
      </c>
    </row>
    <row r="7" spans="1:12" x14ac:dyDescent="0.25">
      <c r="A7">
        <v>5</v>
      </c>
      <c r="B7" s="7">
        <v>80</v>
      </c>
      <c r="C7" s="8">
        <v>0.48699999999999999</v>
      </c>
      <c r="D7" s="1" t="s">
        <v>56</v>
      </c>
      <c r="E7" s="1">
        <v>1</v>
      </c>
      <c r="F7" s="17">
        <v>8.0044000000000004</v>
      </c>
      <c r="G7" s="17">
        <v>13.075100000000001</v>
      </c>
      <c r="H7" s="17">
        <v>3.242</v>
      </c>
      <c r="J7" s="5">
        <v>4.0140000000000002</v>
      </c>
      <c r="K7" s="5">
        <v>2.2240000000000002</v>
      </c>
      <c r="L7" s="5">
        <f t="shared" si="0"/>
        <v>6.7250000000000005</v>
      </c>
    </row>
    <row r="8" spans="1:12" ht="14.45" customHeight="1" x14ac:dyDescent="0.25">
      <c r="A8">
        <v>6</v>
      </c>
      <c r="B8" s="7">
        <v>61</v>
      </c>
      <c r="C8" s="8">
        <v>0.67400000000000004</v>
      </c>
      <c r="D8" s="1" t="s">
        <v>80</v>
      </c>
      <c r="E8" s="1">
        <v>1</v>
      </c>
      <c r="F8" s="17">
        <v>7.9353999999999996</v>
      </c>
      <c r="G8" s="17">
        <v>13.4924</v>
      </c>
      <c r="H8" s="17">
        <v>3.3570000000000002</v>
      </c>
      <c r="J8" s="5">
        <v>3.8210000000000002</v>
      </c>
      <c r="K8" s="5">
        <v>2.226</v>
      </c>
      <c r="L8" s="5">
        <f t="shared" si="0"/>
        <v>6.7210000000000001</v>
      </c>
    </row>
    <row r="9" spans="1:12" ht="17.100000000000001" customHeight="1" x14ac:dyDescent="0.25">
      <c r="A9">
        <v>7</v>
      </c>
      <c r="B9" s="7">
        <v>62</v>
      </c>
      <c r="C9" s="8">
        <v>0.70299999999999996</v>
      </c>
      <c r="D9" s="1" t="s">
        <v>81</v>
      </c>
      <c r="E9" s="1">
        <v>1</v>
      </c>
      <c r="F9" s="17">
        <v>7.9196999999999997</v>
      </c>
      <c r="G9" s="17">
        <v>14.045199999999999</v>
      </c>
      <c r="H9" s="17">
        <v>3.3940000000000001</v>
      </c>
      <c r="J9" s="5">
        <v>3.7679999999999998</v>
      </c>
      <c r="K9" s="5">
        <v>2.2080000000000002</v>
      </c>
      <c r="L9" s="5">
        <f t="shared" si="0"/>
        <v>6.6790000000000003</v>
      </c>
    </row>
    <row r="10" spans="1:12" ht="15" customHeight="1" x14ac:dyDescent="0.25">
      <c r="A10">
        <v>8</v>
      </c>
      <c r="B10" s="6">
        <v>64</v>
      </c>
      <c r="C10" s="9">
        <v>0.48099999999999998</v>
      </c>
      <c r="D10" s="10" t="s">
        <v>82</v>
      </c>
      <c r="E10" s="10">
        <v>1</v>
      </c>
      <c r="F10" s="17">
        <v>7.9162999999999997</v>
      </c>
      <c r="G10" s="17">
        <v>12.792299999999999</v>
      </c>
      <c r="H10" s="17">
        <v>3.2240000000000002</v>
      </c>
      <c r="J10" s="5">
        <v>4.0640000000000001</v>
      </c>
      <c r="K10" s="5">
        <v>2.2509999999999999</v>
      </c>
      <c r="L10" s="5">
        <f t="shared" si="0"/>
        <v>6.7959999999999994</v>
      </c>
    </row>
    <row r="11" spans="1:12" x14ac:dyDescent="0.25">
      <c r="A11">
        <v>9</v>
      </c>
      <c r="B11" s="7">
        <v>66</v>
      </c>
      <c r="C11" s="8">
        <v>0.68300000000000005</v>
      </c>
      <c r="D11" s="1" t="s">
        <v>83</v>
      </c>
      <c r="E11" s="1">
        <v>1</v>
      </c>
      <c r="F11" s="17">
        <v>7.8905000000000003</v>
      </c>
      <c r="G11" s="17">
        <v>13.966100000000001</v>
      </c>
      <c r="H11" s="17">
        <v>3.371</v>
      </c>
      <c r="J11" s="5">
        <v>3.89</v>
      </c>
      <c r="K11" s="5">
        <v>2.1850000000000001</v>
      </c>
      <c r="L11" s="5">
        <f t="shared" si="0"/>
        <v>6.7580000000000009</v>
      </c>
    </row>
    <row r="12" spans="1:12" x14ac:dyDescent="0.25">
      <c r="A12">
        <v>10</v>
      </c>
      <c r="B12" s="7">
        <v>67</v>
      </c>
      <c r="C12" s="8">
        <v>0.73399999999999999</v>
      </c>
      <c r="D12" s="1" t="s">
        <v>84</v>
      </c>
      <c r="E12" s="1">
        <v>1</v>
      </c>
      <c r="F12" s="17">
        <v>7.7689000000000004</v>
      </c>
      <c r="G12" s="17">
        <v>13.9293</v>
      </c>
      <c r="H12" s="17">
        <v>3.3140000000000001</v>
      </c>
      <c r="J12" s="5">
        <v>3.8860000000000001</v>
      </c>
      <c r="K12" s="5">
        <v>2.2029999999999998</v>
      </c>
      <c r="L12" s="5">
        <f t="shared" si="0"/>
        <v>6.8230000000000004</v>
      </c>
    </row>
    <row r="13" spans="1:12" x14ac:dyDescent="0.25">
      <c r="A13">
        <v>11</v>
      </c>
      <c r="B13" s="7">
        <v>70</v>
      </c>
      <c r="C13" s="8">
        <v>0.81899999999999995</v>
      </c>
      <c r="D13" s="1" t="s">
        <v>85</v>
      </c>
      <c r="E13" s="1">
        <v>1</v>
      </c>
      <c r="F13" s="17">
        <v>8.0930999999999997</v>
      </c>
      <c r="G13" s="17">
        <v>13.845000000000001</v>
      </c>
      <c r="H13" s="17">
        <v>3.41</v>
      </c>
      <c r="J13" s="5">
        <v>3.6539999999999999</v>
      </c>
      <c r="K13" s="5">
        <v>2.2749999999999999</v>
      </c>
      <c r="L13" s="5">
        <f t="shared" si="0"/>
        <v>6.7479999999999993</v>
      </c>
    </row>
    <row r="14" spans="1:12" x14ac:dyDescent="0.25">
      <c r="A14">
        <v>12</v>
      </c>
      <c r="B14" s="7">
        <v>52</v>
      </c>
      <c r="C14" s="8">
        <v>0.72099999999999997</v>
      </c>
      <c r="D14" s="1" t="s">
        <v>86</v>
      </c>
      <c r="E14" s="1">
        <v>1</v>
      </c>
      <c r="F14" s="17">
        <v>8.0810999999999993</v>
      </c>
      <c r="G14" s="17">
        <v>13.6853</v>
      </c>
      <c r="H14" s="17">
        <v>3.3730000000000002</v>
      </c>
      <c r="J14" s="5">
        <v>3.7959999999999998</v>
      </c>
      <c r="K14" s="5">
        <v>2.2530000000000001</v>
      </c>
      <c r="L14" s="5">
        <f t="shared" si="0"/>
        <v>6.77</v>
      </c>
    </row>
    <row r="15" spans="1:12" ht="16.350000000000001" customHeight="1" x14ac:dyDescent="0.25">
      <c r="A15">
        <v>13</v>
      </c>
      <c r="B15" s="7">
        <v>55</v>
      </c>
      <c r="C15" s="8">
        <v>0.36699999999999999</v>
      </c>
      <c r="D15" s="1" t="s">
        <v>87</v>
      </c>
      <c r="E15" s="1">
        <v>1</v>
      </c>
      <c r="F15" s="17">
        <v>7.7816999999999998</v>
      </c>
      <c r="G15" s="17">
        <v>12.348800000000001</v>
      </c>
      <c r="H15" s="17">
        <v>3.117</v>
      </c>
      <c r="J15" s="5">
        <v>4.1150000000000002</v>
      </c>
      <c r="K15" s="5">
        <v>2.202</v>
      </c>
      <c r="L15" s="5">
        <f t="shared" si="0"/>
        <v>6.6840000000000002</v>
      </c>
    </row>
    <row r="16" spans="1:12" x14ac:dyDescent="0.25">
      <c r="A16">
        <v>14</v>
      </c>
      <c r="B16" s="7">
        <v>58</v>
      </c>
      <c r="C16" s="8">
        <v>0.72799999999999998</v>
      </c>
      <c r="D16" s="11" t="s">
        <v>88</v>
      </c>
      <c r="E16" s="11">
        <v>1</v>
      </c>
      <c r="F16" s="17">
        <v>7.9537000000000004</v>
      </c>
      <c r="G16" s="17">
        <v>12.967599999999999</v>
      </c>
      <c r="H16" s="17">
        <v>3.246</v>
      </c>
      <c r="J16" s="5">
        <v>3.7679999999999998</v>
      </c>
      <c r="K16" s="5">
        <v>2.2109999999999999</v>
      </c>
      <c r="L16" s="5">
        <f t="shared" si="0"/>
        <v>6.706999999999999</v>
      </c>
    </row>
    <row r="17" spans="1:12" ht="15.6" customHeight="1" x14ac:dyDescent="0.25">
      <c r="A17">
        <v>15</v>
      </c>
      <c r="B17" s="7">
        <v>59</v>
      </c>
      <c r="C17" s="8">
        <v>0.73799999999999999</v>
      </c>
      <c r="D17" s="1" t="s">
        <v>89</v>
      </c>
      <c r="E17" s="1">
        <v>1</v>
      </c>
      <c r="F17" s="17">
        <v>7.8788999999999998</v>
      </c>
      <c r="G17" s="17">
        <v>14.0189</v>
      </c>
      <c r="H17" s="17">
        <v>3.351</v>
      </c>
      <c r="J17" s="5">
        <v>3.746</v>
      </c>
      <c r="K17" s="5">
        <v>2.2330000000000001</v>
      </c>
      <c r="L17" s="5">
        <f t="shared" si="0"/>
        <v>6.7170000000000005</v>
      </c>
    </row>
    <row r="18" spans="1:12" ht="16.350000000000001" customHeight="1" x14ac:dyDescent="0.25">
      <c r="A18">
        <v>16</v>
      </c>
      <c r="B18" s="7">
        <v>9</v>
      </c>
      <c r="C18" s="8">
        <v>0.52</v>
      </c>
      <c r="D18" s="1" t="s">
        <v>90</v>
      </c>
      <c r="E18" s="1">
        <v>1</v>
      </c>
      <c r="F18" s="17">
        <v>8.1561000000000003</v>
      </c>
      <c r="G18" s="17">
        <v>13.168900000000001</v>
      </c>
      <c r="H18" s="17">
        <v>3.2930000000000001</v>
      </c>
      <c r="J18" s="5">
        <v>3.9980000000000002</v>
      </c>
      <c r="K18" s="5">
        <v>2.2759999999999998</v>
      </c>
      <c r="L18" s="5">
        <f t="shared" si="0"/>
        <v>6.7940000000000005</v>
      </c>
    </row>
    <row r="19" spans="1:12" x14ac:dyDescent="0.25">
      <c r="A19">
        <v>17</v>
      </c>
      <c r="B19" s="7">
        <v>11</v>
      </c>
      <c r="C19" s="8">
        <v>0.51600000000000001</v>
      </c>
      <c r="D19" s="1" t="s">
        <v>91</v>
      </c>
      <c r="E19" s="1">
        <v>1</v>
      </c>
      <c r="F19" s="17">
        <v>7.9795999999999996</v>
      </c>
      <c r="G19" s="17">
        <v>12.7136</v>
      </c>
      <c r="H19" s="17">
        <v>3.198</v>
      </c>
      <c r="J19" s="5">
        <v>3.98</v>
      </c>
      <c r="K19" s="5">
        <v>2.25</v>
      </c>
      <c r="L19" s="5">
        <f t="shared" si="0"/>
        <v>6.7460000000000004</v>
      </c>
    </row>
    <row r="20" spans="1:12" x14ac:dyDescent="0.25">
      <c r="A20">
        <v>18</v>
      </c>
      <c r="B20" s="7">
        <v>25</v>
      </c>
      <c r="C20" s="8">
        <v>0.78600000000000003</v>
      </c>
      <c r="D20" s="1" t="s">
        <v>92</v>
      </c>
      <c r="E20" s="1">
        <v>1</v>
      </c>
      <c r="F20" s="17">
        <v>7.9207999999999998</v>
      </c>
      <c r="G20" s="17">
        <v>13.3828</v>
      </c>
      <c r="H20" s="17">
        <v>3.3719999999999999</v>
      </c>
      <c r="J20" s="5">
        <v>3.6739999999999999</v>
      </c>
      <c r="K20" s="5">
        <v>2.181</v>
      </c>
      <c r="L20" s="5">
        <f t="shared" si="0"/>
        <v>6.641</v>
      </c>
    </row>
    <row r="21" spans="1:12" x14ac:dyDescent="0.25">
      <c r="A21">
        <v>19</v>
      </c>
      <c r="B21" s="7">
        <v>26</v>
      </c>
      <c r="C21" s="8">
        <v>0.71099999999999997</v>
      </c>
      <c r="D21" s="1" t="s">
        <v>93</v>
      </c>
      <c r="E21" s="1">
        <v>1</v>
      </c>
      <c r="F21" s="17">
        <v>8.1583000000000006</v>
      </c>
      <c r="G21" s="17">
        <v>13.9817</v>
      </c>
      <c r="H21" s="17">
        <v>3.4039999999999999</v>
      </c>
      <c r="J21" s="5">
        <v>3.718</v>
      </c>
      <c r="K21" s="5">
        <v>2.21</v>
      </c>
      <c r="L21" s="5">
        <f t="shared" si="0"/>
        <v>6.6390000000000002</v>
      </c>
    </row>
    <row r="22" spans="1:12" x14ac:dyDescent="0.25">
      <c r="A22">
        <v>20</v>
      </c>
      <c r="B22" s="7">
        <v>28</v>
      </c>
      <c r="C22" s="8">
        <v>0.68400000000000005</v>
      </c>
      <c r="D22" s="1" t="s">
        <v>94</v>
      </c>
      <c r="E22" s="1">
        <v>1</v>
      </c>
      <c r="F22" s="17">
        <v>7.9386000000000001</v>
      </c>
      <c r="G22" s="17">
        <v>13.4816</v>
      </c>
      <c r="H22" s="17">
        <v>3.3490000000000002</v>
      </c>
      <c r="J22" s="5">
        <v>3.8210000000000002</v>
      </c>
      <c r="K22" s="5">
        <v>2.2450000000000001</v>
      </c>
      <c r="L22" s="5">
        <f t="shared" si="0"/>
        <v>6.75</v>
      </c>
    </row>
    <row r="23" spans="1:12" x14ac:dyDescent="0.25">
      <c r="A23">
        <v>21</v>
      </c>
      <c r="B23" s="7">
        <v>30</v>
      </c>
      <c r="C23" s="8">
        <v>0.82599999999999996</v>
      </c>
      <c r="D23" s="1" t="s">
        <v>95</v>
      </c>
      <c r="E23" s="1">
        <v>1</v>
      </c>
      <c r="F23" s="17">
        <v>7.8117999999999999</v>
      </c>
      <c r="G23" s="17">
        <v>12.8032</v>
      </c>
      <c r="H23" s="17">
        <v>3.286</v>
      </c>
      <c r="J23" s="5">
        <v>3.7480000000000002</v>
      </c>
      <c r="K23" s="5">
        <v>2.2149999999999999</v>
      </c>
      <c r="L23" s="5">
        <f t="shared" si="0"/>
        <v>6.7889999999999997</v>
      </c>
    </row>
    <row r="24" spans="1:12" x14ac:dyDescent="0.25">
      <c r="A24">
        <v>22</v>
      </c>
      <c r="B24" s="7">
        <v>34</v>
      </c>
      <c r="C24" s="8">
        <v>0.66700000000000004</v>
      </c>
      <c r="D24" s="1" t="s">
        <v>96</v>
      </c>
      <c r="E24" s="1">
        <v>1</v>
      </c>
      <c r="F24" s="17">
        <v>8.0533000000000001</v>
      </c>
      <c r="G24" s="17">
        <v>13.376099999999999</v>
      </c>
      <c r="H24" s="17">
        <v>3.3370000000000002</v>
      </c>
      <c r="J24" s="5">
        <v>3.7879999999999998</v>
      </c>
      <c r="K24" s="5">
        <v>2.2400000000000002</v>
      </c>
      <c r="L24" s="5">
        <f t="shared" si="0"/>
        <v>6.6950000000000003</v>
      </c>
    </row>
    <row r="25" spans="1:12" x14ac:dyDescent="0.25">
      <c r="A25">
        <v>23</v>
      </c>
      <c r="B25" s="7">
        <v>37</v>
      </c>
      <c r="C25" s="8">
        <v>0.80200000000000005</v>
      </c>
      <c r="D25" s="1" t="s">
        <v>97</v>
      </c>
      <c r="E25" s="1">
        <v>1</v>
      </c>
      <c r="F25" s="17">
        <v>8.0916999999999994</v>
      </c>
      <c r="G25" s="17">
        <v>13.2582</v>
      </c>
      <c r="H25" s="17">
        <v>3.395</v>
      </c>
      <c r="J25" s="5">
        <v>3.6459999999999999</v>
      </c>
      <c r="K25" s="5">
        <v>2.246</v>
      </c>
      <c r="L25" s="5">
        <f t="shared" si="0"/>
        <v>6.6940000000000008</v>
      </c>
    </row>
    <row r="26" spans="1:12" x14ac:dyDescent="0.25">
      <c r="A26">
        <v>24</v>
      </c>
      <c r="B26" s="7">
        <v>44</v>
      </c>
      <c r="C26" s="8">
        <v>0.56799999999999995</v>
      </c>
      <c r="D26" s="1" t="s">
        <v>98</v>
      </c>
      <c r="E26" s="1">
        <v>1</v>
      </c>
      <c r="F26" s="17">
        <v>7.6646000000000001</v>
      </c>
      <c r="G26" s="17">
        <v>13.2402</v>
      </c>
      <c r="H26" s="17">
        <v>3.1970000000000001</v>
      </c>
      <c r="J26" s="5">
        <v>4.05</v>
      </c>
      <c r="K26" s="5">
        <v>2.1749999999999998</v>
      </c>
      <c r="L26" s="5">
        <f t="shared" si="0"/>
        <v>6.7929999999999993</v>
      </c>
    </row>
    <row r="27" spans="1:12" x14ac:dyDescent="0.25">
      <c r="A27">
        <v>25</v>
      </c>
      <c r="B27" s="7">
        <v>45</v>
      </c>
      <c r="C27" s="8">
        <v>0.63100000000000001</v>
      </c>
      <c r="D27" s="1" t="s">
        <v>99</v>
      </c>
      <c r="E27" s="1">
        <v>1</v>
      </c>
      <c r="F27" s="17">
        <v>7.9231999999999996</v>
      </c>
      <c r="G27" s="17">
        <v>13.3775</v>
      </c>
      <c r="H27" s="17">
        <v>3.2919999999999998</v>
      </c>
      <c r="J27" s="5">
        <v>3.883</v>
      </c>
      <c r="K27" s="5">
        <v>2.1720000000000002</v>
      </c>
      <c r="L27" s="5">
        <f t="shared" si="0"/>
        <v>6.6859999999999999</v>
      </c>
    </row>
  </sheetData>
  <mergeCells count="1"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tabSelected="1" topLeftCell="B1" workbookViewId="0">
      <selection activeCell="L4" sqref="L4"/>
    </sheetView>
  </sheetViews>
  <sheetFormatPr defaultRowHeight="15" x14ac:dyDescent="0.25"/>
  <cols>
    <col min="1" max="1" width="10.140625" customWidth="1"/>
    <col min="2" max="2" width="17.42578125" style="1" bestFit="1" customWidth="1"/>
    <col min="3" max="3" width="14.42578125" style="1" customWidth="1"/>
    <col min="4" max="5" width="8.7109375" style="1"/>
    <col min="6" max="8" width="9.140625" style="1"/>
    <col min="9" max="9" width="5.85546875" customWidth="1"/>
    <col min="10" max="11" width="8.140625" customWidth="1"/>
    <col min="12" max="12" width="8.5703125" customWidth="1"/>
    <col min="13" max="13" width="5.140625" customWidth="1"/>
  </cols>
  <sheetData>
    <row r="1" spans="1:13" x14ac:dyDescent="0.25">
      <c r="B1" s="1" t="s">
        <v>49</v>
      </c>
      <c r="I1" s="1"/>
      <c r="K1" s="22" t="s">
        <v>1</v>
      </c>
      <c r="L1" s="22"/>
      <c r="M1" s="22"/>
    </row>
    <row r="2" spans="1:13" x14ac:dyDescent="0.25">
      <c r="A2" t="s">
        <v>2</v>
      </c>
      <c r="B2" s="1" t="s">
        <v>3</v>
      </c>
      <c r="C2" s="1" t="s">
        <v>4</v>
      </c>
      <c r="D2" s="1" t="s">
        <v>5</v>
      </c>
      <c r="E2" s="1" t="s">
        <v>50</v>
      </c>
      <c r="F2" s="16" t="s">
        <v>101</v>
      </c>
      <c r="G2" s="16" t="s">
        <v>102</v>
      </c>
      <c r="H2" s="16" t="s">
        <v>103</v>
      </c>
      <c r="J2" s="3" t="s">
        <v>6</v>
      </c>
      <c r="K2" s="3" t="s">
        <v>7</v>
      </c>
      <c r="L2" s="3" t="s">
        <v>8</v>
      </c>
    </row>
    <row r="3" spans="1:13" x14ac:dyDescent="0.25">
      <c r="A3">
        <v>1</v>
      </c>
      <c r="B3" s="4">
        <v>3</v>
      </c>
      <c r="C3" s="4">
        <v>0.68</v>
      </c>
      <c r="D3" s="4" t="s">
        <v>10</v>
      </c>
      <c r="E3" s="1">
        <v>1</v>
      </c>
      <c r="F3" s="20">
        <v>7.9820000000000002</v>
      </c>
      <c r="G3" s="20">
        <v>14.3812</v>
      </c>
      <c r="H3" s="20">
        <v>3.5179999999999998</v>
      </c>
      <c r="J3" s="5">
        <v>3.742</v>
      </c>
      <c r="K3" s="5">
        <v>2.258</v>
      </c>
      <c r="L3" s="5">
        <f>(C3+J3+K3)</f>
        <v>6.68</v>
      </c>
    </row>
    <row r="4" spans="1:13" x14ac:dyDescent="0.25">
      <c r="A4">
        <v>2</v>
      </c>
      <c r="B4" s="4" t="s">
        <v>51</v>
      </c>
      <c r="C4" s="4">
        <v>0.41699999999999998</v>
      </c>
      <c r="D4" s="4" t="s">
        <v>14</v>
      </c>
      <c r="E4" s="1">
        <v>1</v>
      </c>
      <c r="F4" s="20">
        <v>7.8869999999999996</v>
      </c>
      <c r="G4" s="20">
        <v>12.3653</v>
      </c>
      <c r="H4" s="20">
        <v>3.206</v>
      </c>
      <c r="J4" s="5">
        <v>3.9169999999999998</v>
      </c>
      <c r="K4" s="5">
        <v>2.238</v>
      </c>
      <c r="L4" s="5">
        <f t="shared" ref="L3:L22" si="0">(C4+J4+K4)</f>
        <v>6.5719999999999992</v>
      </c>
    </row>
    <row r="5" spans="1:13" x14ac:dyDescent="0.25">
      <c r="A5">
        <v>3</v>
      </c>
      <c r="B5" s="4" t="s">
        <v>52</v>
      </c>
      <c r="C5" s="4">
        <v>0.55000000000000004</v>
      </c>
      <c r="D5" s="4" t="s">
        <v>53</v>
      </c>
      <c r="E5" s="1">
        <v>1</v>
      </c>
      <c r="F5" s="20">
        <v>7.5075000000000003</v>
      </c>
      <c r="G5" s="20">
        <v>12.952500000000001</v>
      </c>
      <c r="H5" s="20">
        <v>3.1819999999999999</v>
      </c>
      <c r="J5" s="5">
        <v>3.996</v>
      </c>
      <c r="K5" s="5">
        <v>2.177</v>
      </c>
      <c r="L5" s="5">
        <f t="shared" si="0"/>
        <v>6.7230000000000008</v>
      </c>
    </row>
    <row r="6" spans="1:13" x14ac:dyDescent="0.25">
      <c r="A6">
        <v>4</v>
      </c>
      <c r="B6" s="4" t="s">
        <v>54</v>
      </c>
      <c r="C6" s="4">
        <v>0.52</v>
      </c>
      <c r="D6" s="4" t="s">
        <v>16</v>
      </c>
      <c r="E6" s="1">
        <v>1</v>
      </c>
      <c r="F6" s="20">
        <v>7.5155000000000003</v>
      </c>
      <c r="G6" s="20">
        <v>12.6579</v>
      </c>
      <c r="H6" s="20">
        <v>3.145</v>
      </c>
      <c r="J6" s="5">
        <v>3.988</v>
      </c>
      <c r="K6" s="5">
        <v>2.1480000000000001</v>
      </c>
      <c r="L6" s="5">
        <f t="shared" si="0"/>
        <v>6.6560000000000006</v>
      </c>
    </row>
    <row r="7" spans="1:13" x14ac:dyDescent="0.25">
      <c r="A7">
        <v>5</v>
      </c>
      <c r="B7" s="4" t="s">
        <v>55</v>
      </c>
      <c r="C7" s="4">
        <v>0.48199999999999998</v>
      </c>
      <c r="D7" s="4" t="s">
        <v>56</v>
      </c>
      <c r="E7" s="1">
        <v>1</v>
      </c>
      <c r="F7" s="20">
        <v>7.8380000000000001</v>
      </c>
      <c r="G7" s="20">
        <v>12.430099999999999</v>
      </c>
      <c r="H7" s="20">
        <v>3.1669999999999998</v>
      </c>
      <c r="J7" s="5">
        <v>4.0309999999999997</v>
      </c>
      <c r="K7" s="5">
        <v>2.2090000000000001</v>
      </c>
      <c r="L7" s="5">
        <f t="shared" si="0"/>
        <v>6.7219999999999995</v>
      </c>
    </row>
    <row r="8" spans="1:13" x14ac:dyDescent="0.25">
      <c r="A8">
        <v>6</v>
      </c>
      <c r="B8" s="4" t="s">
        <v>57</v>
      </c>
      <c r="C8" s="4">
        <v>0.33200000000000002</v>
      </c>
      <c r="D8" s="4" t="s">
        <v>58</v>
      </c>
      <c r="E8" s="1">
        <v>1</v>
      </c>
      <c r="F8" s="20">
        <v>7.5232000000000001</v>
      </c>
      <c r="G8" s="20">
        <v>12.0572</v>
      </c>
      <c r="H8" s="20">
        <v>3.0720000000000001</v>
      </c>
      <c r="J8" s="5">
        <v>4.1849999999999996</v>
      </c>
      <c r="K8" s="5">
        <v>2.2410000000000001</v>
      </c>
      <c r="L8" s="5">
        <f t="shared" si="0"/>
        <v>6.7579999999999991</v>
      </c>
    </row>
    <row r="9" spans="1:13" x14ac:dyDescent="0.25">
      <c r="A9">
        <v>7</v>
      </c>
      <c r="B9" s="4" t="s">
        <v>59</v>
      </c>
      <c r="C9" s="4">
        <v>0.17799999999999999</v>
      </c>
      <c r="D9" s="4" t="s">
        <v>20</v>
      </c>
      <c r="E9" s="1">
        <v>1</v>
      </c>
      <c r="F9" s="20">
        <v>7.8758999999999997</v>
      </c>
      <c r="G9" s="20">
        <v>11.157999999999999</v>
      </c>
      <c r="H9" s="20">
        <v>2.9860000000000002</v>
      </c>
      <c r="J9" s="5">
        <v>4.234</v>
      </c>
      <c r="K9" s="5">
        <v>2.2669999999999999</v>
      </c>
      <c r="L9" s="5">
        <f t="shared" si="0"/>
        <v>6.6790000000000003</v>
      </c>
    </row>
    <row r="10" spans="1:13" x14ac:dyDescent="0.25">
      <c r="A10">
        <v>8</v>
      </c>
      <c r="B10" s="4" t="s">
        <v>60</v>
      </c>
      <c r="C10" s="4">
        <v>0.58099999999999996</v>
      </c>
      <c r="D10" s="4" t="s">
        <v>22</v>
      </c>
      <c r="E10" s="1">
        <v>1</v>
      </c>
      <c r="F10" s="20">
        <v>7.9017999999999997</v>
      </c>
      <c r="G10" s="20">
        <v>13.3757</v>
      </c>
      <c r="H10" s="20">
        <v>3.2839999999999998</v>
      </c>
      <c r="J10" s="5">
        <v>3.9249999999999998</v>
      </c>
      <c r="K10" s="5">
        <v>2.2570000000000001</v>
      </c>
      <c r="L10" s="5">
        <f t="shared" si="0"/>
        <v>6.7629999999999999</v>
      </c>
    </row>
    <row r="11" spans="1:13" x14ac:dyDescent="0.25">
      <c r="A11">
        <v>9</v>
      </c>
      <c r="B11" s="4" t="s">
        <v>61</v>
      </c>
      <c r="C11" s="4">
        <v>0.27100000000000002</v>
      </c>
      <c r="D11" s="4" t="s">
        <v>24</v>
      </c>
      <c r="E11" s="1">
        <v>1</v>
      </c>
      <c r="F11" s="20">
        <v>7.4621000000000004</v>
      </c>
      <c r="G11" s="20">
        <v>11.842499999999999</v>
      </c>
      <c r="H11" s="20">
        <v>2.9969999999999999</v>
      </c>
      <c r="J11" s="5">
        <v>4.2539999999999996</v>
      </c>
      <c r="K11" s="5">
        <v>2.202</v>
      </c>
      <c r="L11" s="5">
        <f t="shared" si="0"/>
        <v>6.7269999999999994</v>
      </c>
    </row>
    <row r="12" spans="1:13" x14ac:dyDescent="0.25">
      <c r="A12">
        <v>10</v>
      </c>
      <c r="B12" s="4" t="s">
        <v>62</v>
      </c>
      <c r="C12" s="4">
        <v>0.38600000000000001</v>
      </c>
      <c r="D12" s="4" t="s">
        <v>63</v>
      </c>
      <c r="E12" s="1">
        <v>1</v>
      </c>
      <c r="F12" s="20">
        <v>7.6148999999999996</v>
      </c>
      <c r="G12" s="20">
        <v>12.519399999999999</v>
      </c>
      <c r="H12" s="20">
        <v>3.1070000000000002</v>
      </c>
      <c r="J12" s="5">
        <v>4.1609999999999996</v>
      </c>
      <c r="K12" s="5">
        <v>2.1930000000000001</v>
      </c>
      <c r="L12" s="5">
        <f t="shared" si="0"/>
        <v>6.74</v>
      </c>
    </row>
    <row r="13" spans="1:13" x14ac:dyDescent="0.25">
      <c r="A13">
        <v>11</v>
      </c>
      <c r="B13" s="4" t="s">
        <v>64</v>
      </c>
      <c r="C13" s="4">
        <v>0.499</v>
      </c>
      <c r="D13" s="4" t="s">
        <v>65</v>
      </c>
      <c r="E13" s="1">
        <v>1</v>
      </c>
      <c r="F13" s="20">
        <v>7.9218000000000002</v>
      </c>
      <c r="G13" s="20">
        <v>13.169600000000001</v>
      </c>
      <c r="H13" s="20">
        <v>3.226</v>
      </c>
      <c r="J13" s="5">
        <v>4.0949999999999998</v>
      </c>
      <c r="K13" s="5">
        <v>2.2730000000000001</v>
      </c>
      <c r="L13" s="5">
        <f t="shared" si="0"/>
        <v>6.8669999999999991</v>
      </c>
    </row>
    <row r="14" spans="1:13" x14ac:dyDescent="0.25">
      <c r="A14">
        <v>12</v>
      </c>
      <c r="B14" s="4" t="s">
        <v>66</v>
      </c>
      <c r="C14" s="4">
        <v>0.79400000000000004</v>
      </c>
      <c r="D14" s="4" t="s">
        <v>28</v>
      </c>
      <c r="E14" s="1">
        <v>1</v>
      </c>
      <c r="F14" s="20">
        <v>7.7131999999999996</v>
      </c>
      <c r="G14" s="20">
        <v>14.595800000000001</v>
      </c>
      <c r="H14" s="20">
        <v>3.4550000000000001</v>
      </c>
      <c r="J14" s="5">
        <v>3.7280000000000002</v>
      </c>
      <c r="K14" s="5">
        <v>2.1760000000000002</v>
      </c>
      <c r="L14" s="5">
        <f t="shared" si="0"/>
        <v>6.6980000000000004</v>
      </c>
    </row>
    <row r="15" spans="1:13" x14ac:dyDescent="0.25">
      <c r="A15">
        <v>13</v>
      </c>
      <c r="B15" s="4" t="s">
        <v>67</v>
      </c>
      <c r="C15" s="4">
        <v>0.441</v>
      </c>
      <c r="D15" s="4" t="s">
        <v>32</v>
      </c>
      <c r="E15" s="1">
        <v>1</v>
      </c>
      <c r="F15" s="20">
        <v>7.6664000000000003</v>
      </c>
      <c r="G15" s="20">
        <v>12.343500000000001</v>
      </c>
      <c r="H15" s="20">
        <v>3.1419999999999999</v>
      </c>
      <c r="J15" s="5">
        <v>4.0860000000000003</v>
      </c>
      <c r="K15" s="5">
        <v>2.2090000000000001</v>
      </c>
      <c r="L15" s="5">
        <f t="shared" si="0"/>
        <v>6.7360000000000007</v>
      </c>
    </row>
    <row r="16" spans="1:13" x14ac:dyDescent="0.25">
      <c r="A16">
        <v>14</v>
      </c>
      <c r="B16" s="4" t="s">
        <v>68</v>
      </c>
      <c r="C16" s="4">
        <v>0.32700000000000001</v>
      </c>
      <c r="D16" s="4" t="s">
        <v>36</v>
      </c>
      <c r="E16" s="1">
        <v>1</v>
      </c>
      <c r="F16" s="20">
        <v>7.4581</v>
      </c>
      <c r="G16" s="20">
        <v>11.882999999999999</v>
      </c>
      <c r="H16" s="20">
        <v>3.016</v>
      </c>
      <c r="J16" s="5">
        <v>4.2320000000000002</v>
      </c>
      <c r="K16" s="5">
        <v>2.2250000000000001</v>
      </c>
      <c r="L16" s="5">
        <f t="shared" si="0"/>
        <v>6.7840000000000007</v>
      </c>
    </row>
    <row r="17" spans="1:12" x14ac:dyDescent="0.25">
      <c r="A17">
        <v>15</v>
      </c>
      <c r="B17" s="4" t="s">
        <v>69</v>
      </c>
      <c r="C17" s="4">
        <v>0.14299999999999999</v>
      </c>
      <c r="D17" s="4" t="s">
        <v>38</v>
      </c>
      <c r="E17" s="1">
        <v>1</v>
      </c>
      <c r="F17" s="20">
        <v>7.3842999999999996</v>
      </c>
      <c r="G17" s="20">
        <v>11.1774</v>
      </c>
      <c r="H17" s="20">
        <v>2.8860000000000001</v>
      </c>
      <c r="J17" s="5">
        <v>4.3550000000000004</v>
      </c>
      <c r="K17" s="5">
        <v>2.15</v>
      </c>
      <c r="L17" s="5">
        <f t="shared" si="0"/>
        <v>6.6479999999999997</v>
      </c>
    </row>
    <row r="18" spans="1:12" x14ac:dyDescent="0.25">
      <c r="A18">
        <v>16</v>
      </c>
      <c r="B18" s="4" t="s">
        <v>70</v>
      </c>
      <c r="C18" s="4">
        <v>0.59099999999999997</v>
      </c>
      <c r="D18" s="4" t="s">
        <v>71</v>
      </c>
      <c r="E18" s="1">
        <v>1</v>
      </c>
      <c r="F18" s="20">
        <v>7.8007</v>
      </c>
      <c r="G18" s="20">
        <v>13.3668</v>
      </c>
      <c r="H18" s="20">
        <v>3.29</v>
      </c>
      <c r="J18" s="5">
        <v>3.823</v>
      </c>
      <c r="K18" s="5">
        <v>2.161</v>
      </c>
      <c r="L18" s="5">
        <f t="shared" si="0"/>
        <v>6.5749999999999993</v>
      </c>
    </row>
    <row r="19" spans="1:12" x14ac:dyDescent="0.25">
      <c r="A19">
        <v>17</v>
      </c>
      <c r="B19" s="4" t="s">
        <v>72</v>
      </c>
      <c r="C19" s="4">
        <v>0.53700000000000003</v>
      </c>
      <c r="D19" s="4" t="s">
        <v>42</v>
      </c>
      <c r="E19" s="1">
        <v>1</v>
      </c>
      <c r="F19" s="20">
        <v>7.4995000000000003</v>
      </c>
      <c r="G19" s="20">
        <v>13.573600000000001</v>
      </c>
      <c r="H19" s="20">
        <v>3.2429999999999999</v>
      </c>
      <c r="J19" s="5">
        <v>4.0919999999999996</v>
      </c>
      <c r="K19" s="5">
        <v>2.16</v>
      </c>
      <c r="L19" s="5">
        <f t="shared" si="0"/>
        <v>6.7889999999999997</v>
      </c>
    </row>
    <row r="20" spans="1:12" x14ac:dyDescent="0.25">
      <c r="A20">
        <v>18</v>
      </c>
      <c r="B20" s="4" t="s">
        <v>73</v>
      </c>
      <c r="C20" s="4">
        <v>0.48599999999999999</v>
      </c>
      <c r="D20" s="4" t="s">
        <v>74</v>
      </c>
      <c r="E20" s="1">
        <v>1</v>
      </c>
      <c r="F20" s="20">
        <v>7.5393999999999997</v>
      </c>
      <c r="G20" s="20">
        <v>13.097099999999999</v>
      </c>
      <c r="H20" s="20">
        <v>3.16</v>
      </c>
      <c r="J20" s="5">
        <v>4.0860000000000003</v>
      </c>
      <c r="K20" s="5">
        <v>2.1760000000000002</v>
      </c>
      <c r="L20" s="5">
        <f t="shared" si="0"/>
        <v>6.7480000000000002</v>
      </c>
    </row>
    <row r="21" spans="1:12" x14ac:dyDescent="0.25">
      <c r="A21">
        <v>19</v>
      </c>
      <c r="B21" s="4" t="s">
        <v>75</v>
      </c>
      <c r="C21" s="4">
        <v>0.83299999999999996</v>
      </c>
      <c r="D21" s="4" t="s">
        <v>48</v>
      </c>
      <c r="E21" s="1">
        <v>1</v>
      </c>
      <c r="F21" s="20">
        <v>7.9996</v>
      </c>
      <c r="G21" s="20">
        <v>14.679</v>
      </c>
      <c r="H21" s="20">
        <v>3.5449999999999999</v>
      </c>
      <c r="J21" s="5">
        <v>3.6150000000000002</v>
      </c>
      <c r="K21" s="5">
        <v>2.2280000000000002</v>
      </c>
      <c r="L21" s="5">
        <f t="shared" si="0"/>
        <v>6.6760000000000002</v>
      </c>
    </row>
    <row r="22" spans="1:12" x14ac:dyDescent="0.25">
      <c r="A22">
        <v>20</v>
      </c>
      <c r="B22" s="4" t="s">
        <v>76</v>
      </c>
      <c r="C22" s="4">
        <v>0.79400000000000004</v>
      </c>
      <c r="D22" s="4" t="s">
        <v>77</v>
      </c>
      <c r="E22" s="1">
        <v>1</v>
      </c>
      <c r="F22" s="20">
        <v>7.8151999999999999</v>
      </c>
      <c r="G22" s="20">
        <v>13.4893</v>
      </c>
      <c r="H22" s="20">
        <v>3.41</v>
      </c>
      <c r="J22" s="5">
        <v>3.734</v>
      </c>
      <c r="K22" s="5">
        <v>2.2490000000000001</v>
      </c>
      <c r="L22" s="5">
        <f t="shared" si="0"/>
        <v>6.777000000000001</v>
      </c>
    </row>
  </sheetData>
  <mergeCells count="1"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Wagga_Spike</vt:lpstr>
      <vt:lpstr>Kuringgai_Spike</vt:lpstr>
      <vt:lpstr>MER_Spike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Mehnaz</dc:creator>
  <cp:lastModifiedBy>Solomon Maerowitz-McMahan</cp:lastModifiedBy>
  <dcterms:created xsi:type="dcterms:W3CDTF">2015-06-05T18:17:20Z</dcterms:created>
  <dcterms:modified xsi:type="dcterms:W3CDTF">2025-06-27T05:08:25Z</dcterms:modified>
</cp:coreProperties>
</file>