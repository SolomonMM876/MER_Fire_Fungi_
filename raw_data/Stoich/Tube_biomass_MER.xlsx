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Stoich/"/>
    </mc:Choice>
  </mc:AlternateContent>
  <xr:revisionPtr revIDLastSave="18" documentId="8_{168DFCC9-C6DB-474F-876D-043C7D4A6F70}" xr6:coauthVersionLast="47" xr6:coauthVersionMax="47" xr10:uidLastSave="{3B43CB51-0256-4FFD-AE20-191278BFE614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" i="1" l="1"/>
  <c r="K148" i="1"/>
  <c r="J149" i="1"/>
  <c r="K149" i="1"/>
  <c r="J150" i="1"/>
  <c r="K150" i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<sst xmlns="http://schemas.openxmlformats.org/spreadsheetml/2006/main" count="440" uniqueCount="266">
  <si>
    <t>Batch no</t>
  </si>
  <si>
    <t>Tube no</t>
  </si>
  <si>
    <t>Sample ID_initial</t>
  </si>
  <si>
    <t>Sample ID_main</t>
  </si>
  <si>
    <t>Weight (mg)</t>
  </si>
  <si>
    <t>diluted digest volume (ml)</t>
  </si>
  <si>
    <t xml:space="preserve">Dilution (with NaOH) times </t>
  </si>
  <si>
    <t>P (mg/g)</t>
  </si>
  <si>
    <t>P (%)</t>
  </si>
  <si>
    <t>B-5, 1</t>
  </si>
  <si>
    <t>Blank</t>
  </si>
  <si>
    <t>B-5, 2</t>
  </si>
  <si>
    <t>B-5, 3</t>
  </si>
  <si>
    <t>Apple-1</t>
  </si>
  <si>
    <t>B-5, 4</t>
  </si>
  <si>
    <t>Apple-2</t>
  </si>
  <si>
    <t>B-5, 5</t>
  </si>
  <si>
    <t>A1</t>
  </si>
  <si>
    <t>B-5, 6</t>
  </si>
  <si>
    <t>A2</t>
  </si>
  <si>
    <t>B-5, 7</t>
  </si>
  <si>
    <t>A4</t>
  </si>
  <si>
    <t>B-5, 8</t>
  </si>
  <si>
    <t>B1</t>
  </si>
  <si>
    <t>B-5, 9</t>
  </si>
  <si>
    <t>B2</t>
  </si>
  <si>
    <t>B-5, 10</t>
  </si>
  <si>
    <t>B3</t>
  </si>
  <si>
    <t>B-5, 11</t>
  </si>
  <si>
    <t>B4</t>
  </si>
  <si>
    <t>B-5, 12</t>
  </si>
  <si>
    <t>C1</t>
  </si>
  <si>
    <t>B-6, 13</t>
  </si>
  <si>
    <t>B-6, 14</t>
  </si>
  <si>
    <t>B-6, 15</t>
  </si>
  <si>
    <t>Apple-3</t>
  </si>
  <si>
    <t>B-6, 16</t>
  </si>
  <si>
    <t>Apple-4</t>
  </si>
  <si>
    <t>B-6, 17</t>
  </si>
  <si>
    <t>C2</t>
  </si>
  <si>
    <t>B-6, 18</t>
  </si>
  <si>
    <t>C3</t>
  </si>
  <si>
    <t>B-6, 19</t>
  </si>
  <si>
    <t>C4</t>
  </si>
  <si>
    <t>B-6, 20</t>
  </si>
  <si>
    <t>D1</t>
  </si>
  <si>
    <t>B-6, 21</t>
  </si>
  <si>
    <t>D2</t>
  </si>
  <si>
    <t>B-6, 22</t>
  </si>
  <si>
    <t>D3</t>
  </si>
  <si>
    <t>B-6, 23</t>
  </si>
  <si>
    <t>D4</t>
  </si>
  <si>
    <t>B-6, 24</t>
  </si>
  <si>
    <t>E1</t>
  </si>
  <si>
    <t>B-7, 1</t>
  </si>
  <si>
    <t>B-7, 2</t>
  </si>
  <si>
    <t>B-7, 3</t>
  </si>
  <si>
    <t>Apple-5</t>
  </si>
  <si>
    <t>B-7, 4</t>
  </si>
  <si>
    <t>Apple-6</t>
  </si>
  <si>
    <t>B-7, 5</t>
  </si>
  <si>
    <t>E2</t>
  </si>
  <si>
    <t>B-7, 6</t>
  </si>
  <si>
    <t>E3</t>
  </si>
  <si>
    <t>B-7, 7</t>
  </si>
  <si>
    <t>E4</t>
  </si>
  <si>
    <t>B-7, 8</t>
  </si>
  <si>
    <t>F1</t>
  </si>
  <si>
    <t>B-7, 9</t>
  </si>
  <si>
    <t>F2</t>
  </si>
  <si>
    <t>B-7, 10</t>
  </si>
  <si>
    <t>F3</t>
  </si>
  <si>
    <t>B-7, 11</t>
  </si>
  <si>
    <t>F4</t>
  </si>
  <si>
    <t>B-7, 12</t>
  </si>
  <si>
    <t>Eucalypt-1</t>
  </si>
  <si>
    <t>B-8, 13</t>
  </si>
  <si>
    <t>B-8, 14</t>
  </si>
  <si>
    <t>Apple-7</t>
  </si>
  <si>
    <t>B-8, 15</t>
  </si>
  <si>
    <t>Apple-8</t>
  </si>
  <si>
    <t>B-8, 16</t>
  </si>
  <si>
    <t>B-8, 17</t>
  </si>
  <si>
    <t>B-8, 18</t>
  </si>
  <si>
    <t>B-8, 19</t>
  </si>
  <si>
    <t>B-8, 20</t>
  </si>
  <si>
    <t>B-8, 21</t>
  </si>
  <si>
    <t>B-8, 22</t>
  </si>
  <si>
    <t>B-8, 23</t>
  </si>
  <si>
    <t>B-8, 24</t>
  </si>
  <si>
    <t>B-9, 1</t>
  </si>
  <si>
    <t>B-9, 2</t>
  </si>
  <si>
    <t>Apple-9</t>
  </si>
  <si>
    <t>B-9, 3</t>
  </si>
  <si>
    <t>Apple-10</t>
  </si>
  <si>
    <t>B-9, 4</t>
  </si>
  <si>
    <t>B-9, 5</t>
  </si>
  <si>
    <t>B-9, 6</t>
  </si>
  <si>
    <t>B-9, 7</t>
  </si>
  <si>
    <t>B-9, 8</t>
  </si>
  <si>
    <t>B-9, 9</t>
  </si>
  <si>
    <t>B-9, 10</t>
  </si>
  <si>
    <t>B-9, 11</t>
  </si>
  <si>
    <t>B-9, 12</t>
  </si>
  <si>
    <t>B-10, 13</t>
  </si>
  <si>
    <t>B-10, 14</t>
  </si>
  <si>
    <t>Apple-11</t>
  </si>
  <si>
    <t>B-10, 15</t>
  </si>
  <si>
    <t>Apple-12</t>
  </si>
  <si>
    <t>B-10, 16</t>
  </si>
  <si>
    <t>B-10, 17</t>
  </si>
  <si>
    <t>B-10, 18</t>
  </si>
  <si>
    <t>B-10, 19</t>
  </si>
  <si>
    <t>B-10, 20</t>
  </si>
  <si>
    <t>B-10, 21</t>
  </si>
  <si>
    <t>B-10, 22</t>
  </si>
  <si>
    <t>B-10, 23</t>
  </si>
  <si>
    <t>B-10, 24</t>
  </si>
  <si>
    <t>B-11, 1</t>
  </si>
  <si>
    <t>B-11, 2</t>
  </si>
  <si>
    <t>Apple-13</t>
  </si>
  <si>
    <t>B-11, 3</t>
  </si>
  <si>
    <t>P1</t>
  </si>
  <si>
    <t>B-11, 4</t>
  </si>
  <si>
    <t>P2</t>
  </si>
  <si>
    <t>B-11, 5</t>
  </si>
  <si>
    <t>P3</t>
  </si>
  <si>
    <t>B-11, 6</t>
  </si>
  <si>
    <t>P4</t>
  </si>
  <si>
    <t>B-11, 7</t>
  </si>
  <si>
    <t>P5</t>
  </si>
  <si>
    <t>B-11, 8</t>
  </si>
  <si>
    <t>P6</t>
  </si>
  <si>
    <t>B-11, 9</t>
  </si>
  <si>
    <t>P7</t>
  </si>
  <si>
    <t>B-11, 10</t>
  </si>
  <si>
    <t>P8</t>
  </si>
  <si>
    <t>B-11, 11</t>
  </si>
  <si>
    <t>Apple-14</t>
  </si>
  <si>
    <t>B-11, 12</t>
  </si>
  <si>
    <t>B-12, 13</t>
  </si>
  <si>
    <t>B-12, 14</t>
  </si>
  <si>
    <t>Apple-15</t>
  </si>
  <si>
    <t>B-12, 15</t>
  </si>
  <si>
    <t>P9</t>
  </si>
  <si>
    <t>B-12, 16</t>
  </si>
  <si>
    <t>P10</t>
  </si>
  <si>
    <t>B-12, 17</t>
  </si>
  <si>
    <t>P11</t>
  </si>
  <si>
    <t>B-12, 18</t>
  </si>
  <si>
    <t>P12</t>
  </si>
  <si>
    <t>B-12, 19</t>
  </si>
  <si>
    <t>P13</t>
  </si>
  <si>
    <t>B-12, 20</t>
  </si>
  <si>
    <t>P14</t>
  </si>
  <si>
    <t>B-12, 21</t>
  </si>
  <si>
    <t>P15</t>
  </si>
  <si>
    <t>B-12, 22</t>
  </si>
  <si>
    <t>P16</t>
  </si>
  <si>
    <t>B-12, 23</t>
  </si>
  <si>
    <t>Apple-16</t>
  </si>
  <si>
    <t>B-12, 24</t>
  </si>
  <si>
    <t>B-13, 1</t>
  </si>
  <si>
    <t>B-13, 2</t>
  </si>
  <si>
    <t>Apple-17</t>
  </si>
  <si>
    <t>B-13, 3</t>
  </si>
  <si>
    <t>P17</t>
  </si>
  <si>
    <t>B-13, 4</t>
  </si>
  <si>
    <t>P18</t>
  </si>
  <si>
    <t>B-13, 5</t>
  </si>
  <si>
    <t>P19</t>
  </si>
  <si>
    <t>B-13, 6</t>
  </si>
  <si>
    <t>P20</t>
  </si>
  <si>
    <t>B-13, 7</t>
  </si>
  <si>
    <t>P21</t>
  </si>
  <si>
    <t>B-13, 8</t>
  </si>
  <si>
    <t>P22</t>
  </si>
  <si>
    <t>B-13, 9</t>
  </si>
  <si>
    <t>P23</t>
  </si>
  <si>
    <t>B-13, 10</t>
  </si>
  <si>
    <t>P24</t>
  </si>
  <si>
    <t>B-13, 11</t>
  </si>
  <si>
    <t>Apple-18</t>
  </si>
  <si>
    <t>B-13, 12</t>
  </si>
  <si>
    <t>B-14, 13</t>
  </si>
  <si>
    <t>B-14, 14</t>
  </si>
  <si>
    <t>Apple-19</t>
  </si>
  <si>
    <t>B-14, 15</t>
  </si>
  <si>
    <t>P25</t>
  </si>
  <si>
    <t>B-14, 16</t>
  </si>
  <si>
    <t>P26</t>
  </si>
  <si>
    <t>B-14, 17</t>
  </si>
  <si>
    <t>P27</t>
  </si>
  <si>
    <t>B-14, 18</t>
  </si>
  <si>
    <t>P28</t>
  </si>
  <si>
    <t>B-14, 19</t>
  </si>
  <si>
    <t>P29</t>
  </si>
  <si>
    <t>B-14, 20</t>
  </si>
  <si>
    <t>P30</t>
  </si>
  <si>
    <t>B-14, 21</t>
  </si>
  <si>
    <t>P31</t>
  </si>
  <si>
    <t>B-14, 22</t>
  </si>
  <si>
    <t>P32</t>
  </si>
  <si>
    <t>B-14, 23</t>
  </si>
  <si>
    <t>Apple-20</t>
  </si>
  <si>
    <t>B-14, 24</t>
  </si>
  <si>
    <t>B-15, 1</t>
  </si>
  <si>
    <t>B-15, 2</t>
  </si>
  <si>
    <t>Apple-21</t>
  </si>
  <si>
    <t>B-15, 3</t>
  </si>
  <si>
    <t>P33</t>
  </si>
  <si>
    <t>B-15, 4</t>
  </si>
  <si>
    <t>P34</t>
  </si>
  <si>
    <t>B-15, 5</t>
  </si>
  <si>
    <t>P35</t>
  </si>
  <si>
    <t>B-15, 6</t>
  </si>
  <si>
    <t>P36</t>
  </si>
  <si>
    <t>B-15, 7</t>
  </si>
  <si>
    <t>P37</t>
  </si>
  <si>
    <t>B-15, 8</t>
  </si>
  <si>
    <t>P38</t>
  </si>
  <si>
    <t>B-15, 9</t>
  </si>
  <si>
    <t>P39</t>
  </si>
  <si>
    <t>B-15, 10</t>
  </si>
  <si>
    <t>P40</t>
  </si>
  <si>
    <t>B-15, 11</t>
  </si>
  <si>
    <t>P41</t>
  </si>
  <si>
    <t>B-15, 12</t>
  </si>
  <si>
    <t>Apple-22</t>
  </si>
  <si>
    <t>B-16, 13</t>
  </si>
  <si>
    <t>B-16, 14</t>
  </si>
  <si>
    <t>Apple-23</t>
  </si>
  <si>
    <t>B-16, 15</t>
  </si>
  <si>
    <t>P42</t>
  </si>
  <si>
    <t>B-16, 16</t>
  </si>
  <si>
    <t>P43</t>
  </si>
  <si>
    <t>B-16, 17</t>
  </si>
  <si>
    <t>P44</t>
  </si>
  <si>
    <t>B-16, 18</t>
  </si>
  <si>
    <t>P45</t>
  </si>
  <si>
    <t>B-16, 19</t>
  </si>
  <si>
    <t>P46</t>
  </si>
  <si>
    <t>B-16, 20</t>
  </si>
  <si>
    <t>P47</t>
  </si>
  <si>
    <t>B-16, 21</t>
  </si>
  <si>
    <t>P48</t>
  </si>
  <si>
    <t>B-16, 22</t>
  </si>
  <si>
    <t>P49</t>
  </si>
  <si>
    <t>B-16, 23</t>
  </si>
  <si>
    <t>P50</t>
  </si>
  <si>
    <t>B-16, 24</t>
  </si>
  <si>
    <t>Apple-24</t>
  </si>
  <si>
    <t>B-4, 19</t>
  </si>
  <si>
    <t>W-26</t>
  </si>
  <si>
    <t>B-4, 20</t>
  </si>
  <si>
    <t>W-29</t>
  </si>
  <si>
    <t>B-4, 21</t>
  </si>
  <si>
    <t>W-30</t>
  </si>
  <si>
    <t>MER</t>
  </si>
  <si>
    <t>Kuringgai</t>
  </si>
  <si>
    <t>Amaia</t>
  </si>
  <si>
    <t>Wagga</t>
  </si>
  <si>
    <t>Project Name</t>
  </si>
  <si>
    <t>AQ2_P value (mg/L)</t>
  </si>
  <si>
    <t>Beads present?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</si>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</sst>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164" fontId="0" fillId="0" borderId="0" xfId="0" applyNumberFormat="1" applyFill="1"/>
    <xf numFmtId="164" fontId="4" fillId="0" borderId="0" xfId="0" applyNumberFormat="1" applyFont="1" applyFill="1"/>
    <xf numFmtId="0" fontId="0" fillId="0" borderId="0" xfId="0" applyFill="1" applyAlignment="1">
      <alignment horizontal="right"/>
    </xf>
    <xf numFmtId="16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"/>
  <sheetViews>
    <sheetView tabSelected="1" topLeftCell="A11" workbookViewId="0">
      <selection activeCell="J18" sqref="J18"/>
    </sheetView>
  </sheetViews>
  <sheetFormatPr defaultColWidth="8.7109375" defaultRowHeight="15" x14ac:dyDescent="0.25"/>
  <cols>
    <col min="1" max="1" width="14.28515625" style="2" customWidth="1"/>
    <col min="2" max="3" width="8.7109375" style="2"/>
    <col min="4" max="4" width="15.140625" style="2" customWidth="1"/>
    <col min="5" max="5" width="15.42578125" style="2" customWidth="1"/>
    <col min="6" max="6" width="13.140625" style="2" customWidth="1"/>
    <col min="7" max="7" width="22.140625" style="2" customWidth="1"/>
    <col min="8" max="8" width="22.5703125" style="2" customWidth="1"/>
    <col min="9" max="9" width="24.5703125" style="2" customWidth="1"/>
    <col min="10" max="11" width="12" style="2" customWidth="1"/>
    <col min="12" max="12" width="13.28515625" style="2" customWidth="1"/>
    <col min="14" max="16384" width="8.7109375" style="2"/>
  </cols>
  <sheetData>
    <row r="1" spans="1:12" s="1" customFormat="1" x14ac:dyDescent="0.25">
      <c r="A1" s="1" t="s">
        <v>262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263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264</v>
      </c>
    </row>
    <row r="2" spans="1:12" ht="15.75" x14ac:dyDescent="0.25">
      <c r="A2" s="2" t="s">
        <v>260</v>
      </c>
      <c r="B2" s="2">
        <v>5</v>
      </c>
      <c r="C2" s="2">
        <v>1</v>
      </c>
      <c r="D2" s="2" t="s">
        <v>9</v>
      </c>
      <c r="E2" s="3" t="s">
        <v>10</v>
      </c>
      <c r="G2" s="4">
        <v>7.0999999999999994E-2</v>
      </c>
      <c r="H2" s="2">
        <v>10</v>
      </c>
      <c r="I2" s="2">
        <v>2</v>
      </c>
      <c r="J2" s="2" t="e">
        <f t="shared" ref="J2:J33" si="0">(G2*10*2)/F2</f>
        <v>#DIV/0!</v>
      </c>
      <c r="K2" s="2" t="e">
        <f>J2/10</f>
        <v>#DIV/0!</v>
      </c>
    </row>
    <row r="3" spans="1:12" ht="15.75" x14ac:dyDescent="0.25">
      <c r="A3" s="2" t="s">
        <v>260</v>
      </c>
      <c r="B3" s="2">
        <v>5</v>
      </c>
      <c r="C3" s="2">
        <v>2</v>
      </c>
      <c r="D3" s="2" t="s">
        <v>11</v>
      </c>
      <c r="E3" s="3" t="s">
        <v>10</v>
      </c>
      <c r="G3" s="4">
        <v>6.9000000000000006E-2</v>
      </c>
      <c r="H3" s="2">
        <v>10</v>
      </c>
      <c r="I3" s="2">
        <v>2</v>
      </c>
      <c r="J3" s="2" t="e">
        <f t="shared" si="0"/>
        <v>#DIV/0!</v>
      </c>
      <c r="K3" s="2" t="e">
        <f t="shared" ref="K3:K66" si="1">J3/10</f>
        <v>#DIV/0!</v>
      </c>
    </row>
    <row r="4" spans="1:12" ht="15.75" x14ac:dyDescent="0.25">
      <c r="A4" s="2" t="s">
        <v>260</v>
      </c>
      <c r="B4" s="2">
        <v>5</v>
      </c>
      <c r="C4" s="2">
        <v>3</v>
      </c>
      <c r="D4" s="2" t="s">
        <v>12</v>
      </c>
      <c r="E4" s="3" t="s">
        <v>13</v>
      </c>
      <c r="F4" s="2">
        <v>4.3</v>
      </c>
      <c r="G4" s="2">
        <v>0.35499999999999998</v>
      </c>
      <c r="H4" s="2">
        <v>10</v>
      </c>
      <c r="I4" s="2">
        <v>2</v>
      </c>
      <c r="J4" s="5">
        <f t="shared" si="0"/>
        <v>1.6511627906976745</v>
      </c>
      <c r="K4" s="6">
        <f t="shared" si="1"/>
        <v>0.16511627906976745</v>
      </c>
    </row>
    <row r="5" spans="1:12" ht="15.75" x14ac:dyDescent="0.25">
      <c r="A5" s="2" t="s">
        <v>260</v>
      </c>
      <c r="B5" s="2">
        <v>5</v>
      </c>
      <c r="C5" s="2">
        <v>4</v>
      </c>
      <c r="D5" s="2" t="s">
        <v>14</v>
      </c>
      <c r="E5" s="3" t="s">
        <v>15</v>
      </c>
      <c r="F5" s="2">
        <v>3</v>
      </c>
      <c r="G5" s="2">
        <v>0.30099999999999999</v>
      </c>
      <c r="H5" s="2">
        <v>10</v>
      </c>
      <c r="I5" s="2">
        <v>2</v>
      </c>
      <c r="J5" s="5">
        <f t="shared" si="0"/>
        <v>2.0066666666666664</v>
      </c>
      <c r="K5" s="6">
        <f t="shared" si="1"/>
        <v>0.20066666666666663</v>
      </c>
    </row>
    <row r="6" spans="1:12" x14ac:dyDescent="0.25">
      <c r="A6" s="2" t="s">
        <v>260</v>
      </c>
      <c r="B6" s="2">
        <v>5</v>
      </c>
      <c r="C6" s="2">
        <v>5</v>
      </c>
      <c r="D6" s="2" t="s">
        <v>16</v>
      </c>
      <c r="E6" s="2" t="s">
        <v>17</v>
      </c>
      <c r="F6" s="2">
        <v>0.95099999999999996</v>
      </c>
      <c r="G6" s="2">
        <v>0.126</v>
      </c>
      <c r="H6" s="2">
        <v>10</v>
      </c>
      <c r="I6" s="2">
        <v>2</v>
      </c>
      <c r="J6" s="5">
        <f t="shared" si="0"/>
        <v>2.6498422712933754</v>
      </c>
      <c r="K6" s="5">
        <f t="shared" si="1"/>
        <v>0.26498422712933756</v>
      </c>
    </row>
    <row r="7" spans="1:12" x14ac:dyDescent="0.25">
      <c r="A7" s="2" t="s">
        <v>260</v>
      </c>
      <c r="B7" s="2">
        <v>5</v>
      </c>
      <c r="C7" s="2">
        <v>6</v>
      </c>
      <c r="D7" s="2" t="s">
        <v>18</v>
      </c>
      <c r="E7" s="2" t="s">
        <v>19</v>
      </c>
      <c r="F7" s="2">
        <v>0.59799999999999998</v>
      </c>
      <c r="G7" s="2">
        <v>7.9000000000000001E-2</v>
      </c>
      <c r="H7" s="2">
        <v>10</v>
      </c>
      <c r="I7" s="2">
        <v>2</v>
      </c>
      <c r="J7" s="5">
        <f t="shared" si="0"/>
        <v>2.6421404682274248</v>
      </c>
      <c r="K7" s="5">
        <f t="shared" si="1"/>
        <v>0.26421404682274247</v>
      </c>
    </row>
    <row r="8" spans="1:12" x14ac:dyDescent="0.25">
      <c r="A8" s="2" t="s">
        <v>260</v>
      </c>
      <c r="B8" s="2">
        <v>5</v>
      </c>
      <c r="C8" s="2">
        <v>7</v>
      </c>
      <c r="D8" s="2" t="s">
        <v>20</v>
      </c>
      <c r="E8" s="2" t="s">
        <v>21</v>
      </c>
      <c r="F8" s="2">
        <v>0.51100000000000001</v>
      </c>
      <c r="G8" s="2">
        <v>3.9E-2</v>
      </c>
      <c r="H8" s="2">
        <v>10</v>
      </c>
      <c r="I8" s="2">
        <v>2</v>
      </c>
      <c r="J8" s="5">
        <f t="shared" si="0"/>
        <v>1.5264187866927592</v>
      </c>
      <c r="K8" s="5">
        <f t="shared" si="1"/>
        <v>0.15264187866927592</v>
      </c>
    </row>
    <row r="9" spans="1:12" x14ac:dyDescent="0.25">
      <c r="A9" s="2" t="s">
        <v>260</v>
      </c>
      <c r="B9" s="2">
        <v>5</v>
      </c>
      <c r="C9" s="2">
        <v>8</v>
      </c>
      <c r="D9" s="2" t="s">
        <v>22</v>
      </c>
      <c r="E9" s="2" t="s">
        <v>23</v>
      </c>
      <c r="F9" s="2">
        <v>0.85099999999999998</v>
      </c>
      <c r="G9" s="2">
        <v>0.105</v>
      </c>
      <c r="H9" s="2">
        <v>10</v>
      </c>
      <c r="I9" s="2">
        <v>2</v>
      </c>
      <c r="J9" s="5">
        <f t="shared" si="0"/>
        <v>2.4676850763807288</v>
      </c>
      <c r="K9" s="5">
        <f t="shared" si="1"/>
        <v>0.24676850763807287</v>
      </c>
    </row>
    <row r="10" spans="1:12" x14ac:dyDescent="0.25">
      <c r="A10" s="2" t="s">
        <v>260</v>
      </c>
      <c r="B10" s="2">
        <v>5</v>
      </c>
      <c r="C10" s="2">
        <v>9</v>
      </c>
      <c r="D10" s="2" t="s">
        <v>24</v>
      </c>
      <c r="E10" s="2" t="s">
        <v>25</v>
      </c>
      <c r="F10" s="2">
        <v>1.056</v>
      </c>
      <c r="G10" s="2">
        <v>0.122</v>
      </c>
      <c r="H10" s="2">
        <v>10</v>
      </c>
      <c r="I10" s="2">
        <v>2</v>
      </c>
      <c r="J10" s="5">
        <f t="shared" si="0"/>
        <v>2.3106060606060606</v>
      </c>
      <c r="K10" s="5">
        <f t="shared" si="1"/>
        <v>0.23106060606060605</v>
      </c>
    </row>
    <row r="11" spans="1:12" x14ac:dyDescent="0.25">
      <c r="A11" s="2" t="s">
        <v>260</v>
      </c>
      <c r="B11" s="2">
        <v>5</v>
      </c>
      <c r="C11" s="2">
        <v>10</v>
      </c>
      <c r="D11" s="2" t="s">
        <v>26</v>
      </c>
      <c r="E11" s="2" t="s">
        <v>27</v>
      </c>
      <c r="F11" s="2">
        <v>1.024</v>
      </c>
      <c r="G11" s="2">
        <v>0.13300000000000001</v>
      </c>
      <c r="H11" s="2">
        <v>10</v>
      </c>
      <c r="I11" s="2">
        <v>2</v>
      </c>
      <c r="J11" s="5">
        <f t="shared" si="0"/>
        <v>2.59765625</v>
      </c>
      <c r="K11" s="5">
        <f t="shared" si="1"/>
        <v>0.259765625</v>
      </c>
    </row>
    <row r="12" spans="1:12" x14ac:dyDescent="0.25">
      <c r="A12" s="2" t="s">
        <v>260</v>
      </c>
      <c r="B12" s="2">
        <v>5</v>
      </c>
      <c r="C12" s="2">
        <v>11</v>
      </c>
      <c r="D12" s="2" t="s">
        <v>28</v>
      </c>
      <c r="E12" s="2" t="s">
        <v>29</v>
      </c>
      <c r="F12" s="2">
        <v>0.88600000000000001</v>
      </c>
      <c r="G12" s="2">
        <v>0.16</v>
      </c>
      <c r="H12" s="2">
        <v>10</v>
      </c>
      <c r="I12" s="2">
        <v>2</v>
      </c>
      <c r="J12" s="5">
        <f t="shared" si="0"/>
        <v>3.6117381489841986</v>
      </c>
      <c r="K12" s="5">
        <f t="shared" si="1"/>
        <v>0.36117381489841988</v>
      </c>
    </row>
    <row r="13" spans="1:12" x14ac:dyDescent="0.25">
      <c r="A13" s="2" t="s">
        <v>260</v>
      </c>
      <c r="B13" s="2">
        <v>5</v>
      </c>
      <c r="C13" s="2">
        <v>12</v>
      </c>
      <c r="D13" s="2" t="s">
        <v>30</v>
      </c>
      <c r="E13" s="2" t="s">
        <v>31</v>
      </c>
      <c r="F13" s="2">
        <v>1.0229999999999999</v>
      </c>
      <c r="G13" s="2">
        <v>0.17499999999999999</v>
      </c>
      <c r="H13" s="2">
        <v>10</v>
      </c>
      <c r="I13" s="2">
        <v>2</v>
      </c>
      <c r="J13" s="5">
        <f t="shared" si="0"/>
        <v>3.4213098729227767</v>
      </c>
      <c r="K13" s="5">
        <f t="shared" si="1"/>
        <v>0.34213098729227764</v>
      </c>
    </row>
    <row r="14" spans="1:12" ht="15.75" x14ac:dyDescent="0.25">
      <c r="A14" s="2" t="s">
        <v>260</v>
      </c>
      <c r="B14" s="2">
        <v>6</v>
      </c>
      <c r="C14" s="2">
        <v>13</v>
      </c>
      <c r="D14" s="2" t="s">
        <v>32</v>
      </c>
      <c r="E14" s="3" t="s">
        <v>10</v>
      </c>
      <c r="G14" s="4">
        <v>1.2E-2</v>
      </c>
      <c r="H14" s="2">
        <v>10</v>
      </c>
      <c r="I14" s="2">
        <v>2</v>
      </c>
      <c r="J14" s="5" t="e">
        <f t="shared" si="0"/>
        <v>#DIV/0!</v>
      </c>
      <c r="K14" s="5" t="e">
        <f t="shared" si="1"/>
        <v>#DIV/0!</v>
      </c>
    </row>
    <row r="15" spans="1:12" ht="15.75" x14ac:dyDescent="0.25">
      <c r="A15" s="2" t="s">
        <v>260</v>
      </c>
      <c r="B15" s="2">
        <v>6</v>
      </c>
      <c r="C15" s="2">
        <v>14</v>
      </c>
      <c r="D15" s="2" t="s">
        <v>33</v>
      </c>
      <c r="E15" s="3" t="s">
        <v>10</v>
      </c>
      <c r="G15" s="4">
        <v>5.8999999999999997E-2</v>
      </c>
      <c r="H15" s="2">
        <v>10</v>
      </c>
      <c r="I15" s="2">
        <v>2</v>
      </c>
      <c r="J15" s="5" t="e">
        <f t="shared" si="0"/>
        <v>#DIV/0!</v>
      </c>
      <c r="K15" s="5" t="e">
        <f t="shared" si="1"/>
        <v>#DIV/0!</v>
      </c>
    </row>
    <row r="16" spans="1:12" ht="15.75" x14ac:dyDescent="0.25">
      <c r="A16" s="2" t="s">
        <v>260</v>
      </c>
      <c r="B16" s="2">
        <v>6</v>
      </c>
      <c r="C16" s="2">
        <v>15</v>
      </c>
      <c r="D16" s="2" t="s">
        <v>34</v>
      </c>
      <c r="E16" s="3" t="s">
        <v>35</v>
      </c>
      <c r="F16" s="2">
        <v>2</v>
      </c>
      <c r="G16" s="2">
        <v>0.184</v>
      </c>
      <c r="H16" s="2">
        <v>10</v>
      </c>
      <c r="I16" s="2">
        <v>2</v>
      </c>
      <c r="J16" s="5">
        <f t="shared" si="0"/>
        <v>1.8399999999999999</v>
      </c>
      <c r="K16" s="6">
        <f t="shared" si="1"/>
        <v>0.184</v>
      </c>
    </row>
    <row r="17" spans="1:12" ht="15.75" x14ac:dyDescent="0.25">
      <c r="A17" s="2" t="s">
        <v>260</v>
      </c>
      <c r="B17" s="2">
        <v>6</v>
      </c>
      <c r="C17" s="2">
        <v>16</v>
      </c>
      <c r="D17" s="2" t="s">
        <v>36</v>
      </c>
      <c r="E17" s="3" t="s">
        <v>37</v>
      </c>
      <c r="F17" s="2">
        <v>2.8</v>
      </c>
      <c r="G17" s="2">
        <v>0.23100000000000001</v>
      </c>
      <c r="H17" s="2">
        <v>10</v>
      </c>
      <c r="I17" s="2">
        <v>2</v>
      </c>
      <c r="J17" s="5">
        <f t="shared" si="0"/>
        <v>1.6500000000000001</v>
      </c>
      <c r="K17" s="6">
        <f t="shared" si="1"/>
        <v>0.16500000000000001</v>
      </c>
    </row>
    <row r="18" spans="1:12" ht="15.75" x14ac:dyDescent="0.25">
      <c r="A18" s="2" t="s">
        <v>260</v>
      </c>
      <c r="B18" s="2">
        <v>6</v>
      </c>
      <c r="C18" s="2">
        <v>17</v>
      </c>
      <c r="D18" s="2" t="s">
        <v>38</v>
      </c>
      <c r="E18" s="3" t="s">
        <v>39</v>
      </c>
      <c r="F18" s="2">
        <v>1.9610000000000001</v>
      </c>
      <c r="G18" s="2">
        <v>0.77700000000000002</v>
      </c>
      <c r="H18" s="2">
        <v>10</v>
      </c>
      <c r="I18" s="2">
        <v>2</v>
      </c>
      <c r="J18" s="5">
        <f t="shared" si="0"/>
        <v>7.9245283018867925</v>
      </c>
      <c r="K18" s="5">
        <f t="shared" si="1"/>
        <v>0.79245283018867929</v>
      </c>
      <c r="L18" s="2" t="s">
        <v>265</v>
      </c>
    </row>
    <row r="19" spans="1:12" ht="15.75" x14ac:dyDescent="0.25">
      <c r="A19" s="2" t="s">
        <v>260</v>
      </c>
      <c r="B19" s="2">
        <v>6</v>
      </c>
      <c r="C19" s="2">
        <v>18</v>
      </c>
      <c r="D19" s="2" t="s">
        <v>40</v>
      </c>
      <c r="E19" s="3" t="s">
        <v>41</v>
      </c>
      <c r="F19" s="2">
        <v>1.927</v>
      </c>
      <c r="G19" s="2">
        <v>0.25700000000000001</v>
      </c>
      <c r="H19" s="2">
        <v>10</v>
      </c>
      <c r="I19" s="2">
        <v>2</v>
      </c>
      <c r="J19" s="5">
        <f t="shared" si="0"/>
        <v>2.6673585884795021</v>
      </c>
      <c r="K19" s="5">
        <f t="shared" si="1"/>
        <v>0.2667358588479502</v>
      </c>
    </row>
    <row r="20" spans="1:12" ht="15.75" x14ac:dyDescent="0.25">
      <c r="A20" s="2" t="s">
        <v>260</v>
      </c>
      <c r="B20" s="2">
        <v>6</v>
      </c>
      <c r="C20" s="2">
        <v>19</v>
      </c>
      <c r="D20" s="2" t="s">
        <v>42</v>
      </c>
      <c r="E20" s="3" t="s">
        <v>43</v>
      </c>
      <c r="F20" s="2">
        <v>0.79400000000000004</v>
      </c>
      <c r="G20" s="2">
        <v>8.1000000000000003E-2</v>
      </c>
      <c r="H20" s="2">
        <v>10</v>
      </c>
      <c r="I20" s="2">
        <v>2</v>
      </c>
      <c r="J20" s="5">
        <f t="shared" si="0"/>
        <v>2.0403022670025188</v>
      </c>
      <c r="K20" s="5">
        <f t="shared" si="1"/>
        <v>0.20403022670025189</v>
      </c>
      <c r="L20" s="2" t="s">
        <v>265</v>
      </c>
    </row>
    <row r="21" spans="1:12" ht="15.75" x14ac:dyDescent="0.25">
      <c r="A21" s="2" t="s">
        <v>260</v>
      </c>
      <c r="B21" s="2">
        <v>6</v>
      </c>
      <c r="C21" s="2">
        <v>20</v>
      </c>
      <c r="D21" s="2" t="s">
        <v>44</v>
      </c>
      <c r="E21" s="3" t="s">
        <v>45</v>
      </c>
      <c r="F21" s="2">
        <v>1.3</v>
      </c>
      <c r="G21" s="2">
        <v>0.11</v>
      </c>
      <c r="H21" s="2">
        <v>10</v>
      </c>
      <c r="I21" s="2">
        <v>2</v>
      </c>
      <c r="J21" s="5">
        <f t="shared" si="0"/>
        <v>1.6923076923076923</v>
      </c>
      <c r="K21" s="5">
        <f t="shared" si="1"/>
        <v>0.16923076923076924</v>
      </c>
      <c r="L21" s="2" t="s">
        <v>265</v>
      </c>
    </row>
    <row r="22" spans="1:12" ht="15.75" x14ac:dyDescent="0.25">
      <c r="A22" s="2" t="s">
        <v>260</v>
      </c>
      <c r="B22" s="2">
        <v>6</v>
      </c>
      <c r="C22" s="2">
        <v>21</v>
      </c>
      <c r="D22" s="2" t="s">
        <v>46</v>
      </c>
      <c r="E22" s="3" t="s">
        <v>47</v>
      </c>
      <c r="F22" s="2">
        <v>1.1599999999999999</v>
      </c>
      <c r="G22" s="2">
        <v>0.25700000000000001</v>
      </c>
      <c r="H22" s="2">
        <v>10</v>
      </c>
      <c r="I22" s="2">
        <v>2</v>
      </c>
      <c r="J22" s="5">
        <f t="shared" si="0"/>
        <v>4.4310344827586219</v>
      </c>
      <c r="K22" s="5">
        <f t="shared" si="1"/>
        <v>0.44310344827586218</v>
      </c>
    </row>
    <row r="23" spans="1:12" ht="15.75" x14ac:dyDescent="0.25">
      <c r="A23" s="2" t="s">
        <v>260</v>
      </c>
      <c r="B23" s="2">
        <v>6</v>
      </c>
      <c r="C23" s="2">
        <v>22</v>
      </c>
      <c r="D23" s="2" t="s">
        <v>48</v>
      </c>
      <c r="E23" s="3" t="s">
        <v>49</v>
      </c>
      <c r="F23" s="2">
        <v>1.008</v>
      </c>
      <c r="G23" s="2">
        <v>0.14099999999999999</v>
      </c>
      <c r="H23" s="2">
        <v>10</v>
      </c>
      <c r="I23" s="2">
        <v>2</v>
      </c>
      <c r="J23" s="5">
        <f t="shared" si="0"/>
        <v>2.7976190476190474</v>
      </c>
      <c r="K23" s="5">
        <f t="shared" si="1"/>
        <v>0.27976190476190477</v>
      </c>
    </row>
    <row r="24" spans="1:12" ht="15.75" x14ac:dyDescent="0.25">
      <c r="A24" s="2" t="s">
        <v>260</v>
      </c>
      <c r="B24" s="2">
        <v>6</v>
      </c>
      <c r="C24" s="2">
        <v>23</v>
      </c>
      <c r="D24" s="2" t="s">
        <v>50</v>
      </c>
      <c r="E24" s="3" t="s">
        <v>51</v>
      </c>
      <c r="F24" s="2">
        <v>0.89600000000000002</v>
      </c>
      <c r="G24" s="2">
        <v>0.17299999999999999</v>
      </c>
      <c r="H24" s="2">
        <v>10</v>
      </c>
      <c r="I24" s="2">
        <v>2</v>
      </c>
      <c r="J24" s="5">
        <f t="shared" si="0"/>
        <v>3.8616071428571428</v>
      </c>
      <c r="K24" s="5">
        <f t="shared" si="1"/>
        <v>0.3861607142857143</v>
      </c>
      <c r="L24" s="2" t="s">
        <v>265</v>
      </c>
    </row>
    <row r="25" spans="1:12" ht="15.75" x14ac:dyDescent="0.25">
      <c r="A25" s="2" t="s">
        <v>260</v>
      </c>
      <c r="B25" s="2">
        <v>6</v>
      </c>
      <c r="C25" s="2">
        <v>24</v>
      </c>
      <c r="D25" s="2" t="s">
        <v>52</v>
      </c>
      <c r="E25" s="3" t="s">
        <v>53</v>
      </c>
      <c r="F25" s="2">
        <v>1.996</v>
      </c>
      <c r="G25" s="2">
        <v>0.17699999999999999</v>
      </c>
      <c r="H25" s="2">
        <v>10.5</v>
      </c>
      <c r="I25" s="2">
        <v>2</v>
      </c>
      <c r="J25" s="5">
        <f t="shared" si="0"/>
        <v>1.7735470941883769</v>
      </c>
      <c r="K25" s="5">
        <f t="shared" si="1"/>
        <v>0.17735470941883769</v>
      </c>
    </row>
    <row r="26" spans="1:12" ht="15.75" x14ac:dyDescent="0.25">
      <c r="A26" s="2" t="s">
        <v>260</v>
      </c>
      <c r="B26" s="2">
        <v>7</v>
      </c>
      <c r="C26" s="2">
        <v>1</v>
      </c>
      <c r="D26" s="2" t="s">
        <v>54</v>
      </c>
      <c r="E26" s="3" t="s">
        <v>10</v>
      </c>
      <c r="G26" s="4">
        <v>4.2000000000000003E-2</v>
      </c>
      <c r="H26" s="2">
        <v>10</v>
      </c>
      <c r="I26" s="2">
        <v>2</v>
      </c>
      <c r="J26" s="5" t="e">
        <f t="shared" si="0"/>
        <v>#DIV/0!</v>
      </c>
      <c r="K26" s="5" t="e">
        <f t="shared" si="1"/>
        <v>#DIV/0!</v>
      </c>
    </row>
    <row r="27" spans="1:12" ht="15.75" x14ac:dyDescent="0.25">
      <c r="A27" s="2" t="s">
        <v>260</v>
      </c>
      <c r="B27" s="2">
        <v>7</v>
      </c>
      <c r="C27" s="2">
        <v>2</v>
      </c>
      <c r="D27" s="2" t="s">
        <v>55</v>
      </c>
      <c r="E27" s="3" t="s">
        <v>10</v>
      </c>
      <c r="G27" s="4">
        <v>4.7E-2</v>
      </c>
      <c r="H27" s="2">
        <v>10</v>
      </c>
      <c r="I27" s="2">
        <v>2</v>
      </c>
      <c r="J27" s="5" t="e">
        <f t="shared" si="0"/>
        <v>#DIV/0!</v>
      </c>
      <c r="K27" s="5" t="e">
        <f t="shared" si="1"/>
        <v>#DIV/0!</v>
      </c>
    </row>
    <row r="28" spans="1:12" ht="15.75" x14ac:dyDescent="0.25">
      <c r="A28" s="2" t="s">
        <v>260</v>
      </c>
      <c r="B28" s="2">
        <v>7</v>
      </c>
      <c r="C28" s="2">
        <v>3</v>
      </c>
      <c r="D28" s="2" t="s">
        <v>56</v>
      </c>
      <c r="E28" s="3" t="s">
        <v>57</v>
      </c>
      <c r="F28" s="2">
        <v>2.4</v>
      </c>
      <c r="G28" s="2">
        <v>0.18099999999999999</v>
      </c>
      <c r="H28" s="2">
        <v>10</v>
      </c>
      <c r="I28" s="2">
        <v>2</v>
      </c>
      <c r="J28" s="5">
        <f t="shared" si="0"/>
        <v>1.5083333333333335</v>
      </c>
      <c r="K28" s="6">
        <f t="shared" si="1"/>
        <v>0.15083333333333335</v>
      </c>
    </row>
    <row r="29" spans="1:12" ht="15.75" x14ac:dyDescent="0.25">
      <c r="A29" s="2" t="s">
        <v>260</v>
      </c>
      <c r="B29" s="2">
        <v>7</v>
      </c>
      <c r="C29" s="2">
        <v>4</v>
      </c>
      <c r="D29" s="2" t="s">
        <v>58</v>
      </c>
      <c r="E29" s="3" t="s">
        <v>59</v>
      </c>
      <c r="F29" s="2">
        <v>3</v>
      </c>
      <c r="G29" s="2">
        <v>0.39300000000000002</v>
      </c>
      <c r="H29" s="2">
        <v>10</v>
      </c>
      <c r="I29" s="2">
        <v>2</v>
      </c>
      <c r="J29" s="5">
        <f t="shared" si="0"/>
        <v>2.62</v>
      </c>
      <c r="K29" s="6">
        <f t="shared" si="1"/>
        <v>0.26200000000000001</v>
      </c>
    </row>
    <row r="30" spans="1:12" ht="15.75" x14ac:dyDescent="0.25">
      <c r="A30" s="2" t="s">
        <v>260</v>
      </c>
      <c r="B30" s="2">
        <v>7</v>
      </c>
      <c r="C30" s="2">
        <v>5</v>
      </c>
      <c r="D30" s="2" t="s">
        <v>60</v>
      </c>
      <c r="E30" s="3" t="s">
        <v>61</v>
      </c>
      <c r="F30" s="2">
        <v>0.86499999999999999</v>
      </c>
      <c r="G30" s="2">
        <v>0.113</v>
      </c>
      <c r="H30" s="2">
        <v>10</v>
      </c>
      <c r="I30" s="2">
        <v>2</v>
      </c>
      <c r="J30" s="5">
        <f t="shared" si="0"/>
        <v>2.6127167630057806</v>
      </c>
      <c r="K30" s="5">
        <f t="shared" si="1"/>
        <v>0.26127167630057807</v>
      </c>
    </row>
    <row r="31" spans="1:12" ht="15.75" x14ac:dyDescent="0.25">
      <c r="A31" s="2" t="s">
        <v>260</v>
      </c>
      <c r="B31" s="2">
        <v>7</v>
      </c>
      <c r="C31" s="2">
        <v>6</v>
      </c>
      <c r="D31" s="2" t="s">
        <v>62</v>
      </c>
      <c r="E31" s="3" t="s">
        <v>63</v>
      </c>
      <c r="F31" s="2">
        <v>0.96399999999999997</v>
      </c>
      <c r="G31" s="2">
        <v>0.112</v>
      </c>
      <c r="H31" s="2">
        <v>10</v>
      </c>
      <c r="I31" s="2">
        <v>2</v>
      </c>
      <c r="J31" s="5">
        <f t="shared" si="0"/>
        <v>2.3236514522821579</v>
      </c>
      <c r="K31" s="5">
        <f t="shared" si="1"/>
        <v>0.23236514522821577</v>
      </c>
    </row>
    <row r="32" spans="1:12" ht="15.75" x14ac:dyDescent="0.25">
      <c r="A32" s="2" t="s">
        <v>260</v>
      </c>
      <c r="B32" s="2">
        <v>7</v>
      </c>
      <c r="C32" s="2">
        <v>7</v>
      </c>
      <c r="D32" s="2" t="s">
        <v>64</v>
      </c>
      <c r="E32" s="3" t="s">
        <v>65</v>
      </c>
      <c r="F32" s="2">
        <v>0.874</v>
      </c>
      <c r="G32" s="2">
        <v>8.4000000000000005E-2</v>
      </c>
      <c r="H32" s="2">
        <v>10</v>
      </c>
      <c r="I32" s="2">
        <v>2</v>
      </c>
      <c r="J32" s="5">
        <f t="shared" si="0"/>
        <v>1.922196796338673</v>
      </c>
      <c r="K32" s="5">
        <f t="shared" si="1"/>
        <v>0.1922196796338673</v>
      </c>
    </row>
    <row r="33" spans="1:11" ht="15.75" x14ac:dyDescent="0.25">
      <c r="A33" s="2" t="s">
        <v>260</v>
      </c>
      <c r="B33" s="2">
        <v>7</v>
      </c>
      <c r="C33" s="2">
        <v>8</v>
      </c>
      <c r="D33" s="2" t="s">
        <v>66</v>
      </c>
      <c r="E33" s="3" t="s">
        <v>67</v>
      </c>
      <c r="F33" s="2">
        <v>1.05</v>
      </c>
      <c r="G33" s="2">
        <v>0.124</v>
      </c>
      <c r="H33" s="2">
        <v>10</v>
      </c>
      <c r="I33" s="2">
        <v>2</v>
      </c>
      <c r="J33" s="5">
        <f t="shared" si="0"/>
        <v>2.361904761904762</v>
      </c>
      <c r="K33" s="5">
        <f t="shared" si="1"/>
        <v>0.2361904761904762</v>
      </c>
    </row>
    <row r="34" spans="1:11" ht="15.75" x14ac:dyDescent="0.25">
      <c r="A34" s="2" t="s">
        <v>260</v>
      </c>
      <c r="B34" s="2">
        <v>7</v>
      </c>
      <c r="C34" s="2">
        <v>9</v>
      </c>
      <c r="D34" s="2" t="s">
        <v>68</v>
      </c>
      <c r="E34" s="3" t="s">
        <v>69</v>
      </c>
      <c r="F34" s="2">
        <v>1.2150000000000001</v>
      </c>
      <c r="G34" s="2">
        <v>0.23400000000000001</v>
      </c>
      <c r="H34" s="2">
        <v>10</v>
      </c>
      <c r="I34" s="2">
        <v>2</v>
      </c>
      <c r="J34" s="5">
        <f t="shared" ref="J34:J65" si="2">(G34*10*2)/F34</f>
        <v>3.8518518518518521</v>
      </c>
      <c r="K34" s="5">
        <f t="shared" si="1"/>
        <v>0.38518518518518519</v>
      </c>
    </row>
    <row r="35" spans="1:11" ht="15.75" x14ac:dyDescent="0.25">
      <c r="A35" s="2" t="s">
        <v>260</v>
      </c>
      <c r="B35" s="2">
        <v>7</v>
      </c>
      <c r="C35" s="2">
        <v>10</v>
      </c>
      <c r="D35" s="2" t="s">
        <v>70</v>
      </c>
      <c r="E35" s="3" t="s">
        <v>71</v>
      </c>
      <c r="F35" s="2">
        <v>1.9850000000000001</v>
      </c>
      <c r="G35" s="2">
        <v>0.17599999999999999</v>
      </c>
      <c r="H35" s="2">
        <v>10</v>
      </c>
      <c r="I35" s="2">
        <v>2</v>
      </c>
      <c r="J35" s="5">
        <f t="shared" si="2"/>
        <v>1.773299748110831</v>
      </c>
      <c r="K35" s="5">
        <f t="shared" si="1"/>
        <v>0.17732997481108309</v>
      </c>
    </row>
    <row r="36" spans="1:11" ht="15.75" x14ac:dyDescent="0.25">
      <c r="A36" s="2" t="s">
        <v>260</v>
      </c>
      <c r="B36" s="2">
        <v>7</v>
      </c>
      <c r="C36" s="2">
        <v>11</v>
      </c>
      <c r="D36" s="2" t="s">
        <v>72</v>
      </c>
      <c r="E36" s="3" t="s">
        <v>73</v>
      </c>
      <c r="F36" s="2">
        <v>1.02</v>
      </c>
      <c r="G36" s="2">
        <v>0.20200000000000001</v>
      </c>
      <c r="H36" s="2">
        <v>10</v>
      </c>
      <c r="I36" s="2">
        <v>2</v>
      </c>
      <c r="J36" s="5">
        <f t="shared" si="2"/>
        <v>3.9607843137254903</v>
      </c>
      <c r="K36" s="5">
        <f t="shared" si="1"/>
        <v>0.39607843137254906</v>
      </c>
    </row>
    <row r="37" spans="1:11" ht="15.75" x14ac:dyDescent="0.25">
      <c r="A37" s="2" t="s">
        <v>260</v>
      </c>
      <c r="B37" s="2">
        <v>7</v>
      </c>
      <c r="C37" s="2">
        <v>12</v>
      </c>
      <c r="D37" s="2" t="s">
        <v>74</v>
      </c>
      <c r="E37" s="3" t="s">
        <v>75</v>
      </c>
      <c r="F37" s="2">
        <v>5.4</v>
      </c>
      <c r="G37" s="2">
        <v>0.313</v>
      </c>
      <c r="H37" s="2">
        <v>10</v>
      </c>
      <c r="I37" s="2">
        <v>2</v>
      </c>
      <c r="J37" s="5">
        <f t="shared" si="2"/>
        <v>1.1592592592592592</v>
      </c>
      <c r="K37" s="6">
        <f t="shared" si="1"/>
        <v>0.11592592592592592</v>
      </c>
    </row>
    <row r="38" spans="1:11" ht="15.75" x14ac:dyDescent="0.25">
      <c r="A38" s="2" t="s">
        <v>258</v>
      </c>
      <c r="B38" s="2">
        <v>8</v>
      </c>
      <c r="C38" s="2">
        <v>13</v>
      </c>
      <c r="D38" s="2" t="s">
        <v>76</v>
      </c>
      <c r="E38" s="3" t="s">
        <v>10</v>
      </c>
      <c r="G38" s="4">
        <v>0.05</v>
      </c>
      <c r="H38" s="2">
        <v>10</v>
      </c>
      <c r="I38" s="2">
        <v>2</v>
      </c>
      <c r="J38" s="5" t="e">
        <f t="shared" si="2"/>
        <v>#DIV/0!</v>
      </c>
      <c r="K38" s="5" t="e">
        <f t="shared" si="1"/>
        <v>#DIV/0!</v>
      </c>
    </row>
    <row r="39" spans="1:11" ht="15.75" x14ac:dyDescent="0.25">
      <c r="A39" s="2" t="s">
        <v>258</v>
      </c>
      <c r="B39" s="2">
        <v>8</v>
      </c>
      <c r="C39" s="2">
        <v>14</v>
      </c>
      <c r="D39" s="2" t="s">
        <v>77</v>
      </c>
      <c r="E39" s="3" t="s">
        <v>78</v>
      </c>
      <c r="F39" s="2">
        <v>2.6</v>
      </c>
      <c r="G39" s="2">
        <v>0.248</v>
      </c>
      <c r="H39" s="2">
        <v>10</v>
      </c>
      <c r="I39" s="2">
        <v>2</v>
      </c>
      <c r="J39" s="5">
        <f t="shared" si="2"/>
        <v>1.9076923076923076</v>
      </c>
      <c r="K39" s="6">
        <f t="shared" si="1"/>
        <v>0.19076923076923075</v>
      </c>
    </row>
    <row r="40" spans="1:11" ht="15.75" x14ac:dyDescent="0.25">
      <c r="A40" s="2" t="s">
        <v>258</v>
      </c>
      <c r="B40" s="2">
        <v>8</v>
      </c>
      <c r="C40" s="2">
        <v>15</v>
      </c>
      <c r="D40" s="2" t="s">
        <v>79</v>
      </c>
      <c r="E40" s="3" t="s">
        <v>80</v>
      </c>
      <c r="F40" s="2">
        <v>3.4</v>
      </c>
      <c r="G40" s="2">
        <v>0.317</v>
      </c>
      <c r="H40" s="2">
        <v>10</v>
      </c>
      <c r="I40" s="2">
        <v>2</v>
      </c>
      <c r="J40" s="5">
        <f t="shared" si="2"/>
        <v>1.8647058823529412</v>
      </c>
      <c r="K40" s="6">
        <f t="shared" si="1"/>
        <v>0.18647058823529411</v>
      </c>
    </row>
    <row r="41" spans="1:11" x14ac:dyDescent="0.25">
      <c r="A41" s="2" t="s">
        <v>258</v>
      </c>
      <c r="B41" s="2">
        <v>8</v>
      </c>
      <c r="C41" s="2">
        <v>16</v>
      </c>
      <c r="D41" s="2" t="s">
        <v>81</v>
      </c>
      <c r="E41" s="2">
        <v>1</v>
      </c>
      <c r="F41" s="2">
        <v>1.5640000000000001</v>
      </c>
      <c r="G41" s="2">
        <v>0.107</v>
      </c>
      <c r="H41" s="2">
        <v>10</v>
      </c>
      <c r="I41" s="2">
        <v>2</v>
      </c>
      <c r="J41" s="5">
        <f t="shared" si="2"/>
        <v>1.3682864450127878</v>
      </c>
      <c r="K41" s="5">
        <f t="shared" si="1"/>
        <v>0.1368286445012788</v>
      </c>
    </row>
    <row r="42" spans="1:11" x14ac:dyDescent="0.25">
      <c r="A42" s="2" t="s">
        <v>258</v>
      </c>
      <c r="B42" s="2">
        <v>8</v>
      </c>
      <c r="C42" s="2">
        <v>17</v>
      </c>
      <c r="D42" s="2" t="s">
        <v>82</v>
      </c>
      <c r="E42" s="2">
        <v>2</v>
      </c>
      <c r="F42" s="2">
        <v>2.0259999999999998</v>
      </c>
      <c r="G42" s="2">
        <v>0.17899999999999999</v>
      </c>
      <c r="H42" s="2">
        <v>10</v>
      </c>
      <c r="I42" s="2">
        <v>2</v>
      </c>
      <c r="J42" s="5">
        <f t="shared" si="2"/>
        <v>1.7670286278381049</v>
      </c>
      <c r="K42" s="5">
        <f t="shared" si="1"/>
        <v>0.17670286278381048</v>
      </c>
    </row>
    <row r="43" spans="1:11" x14ac:dyDescent="0.25">
      <c r="A43" s="2" t="s">
        <v>258</v>
      </c>
      <c r="B43" s="2">
        <v>8</v>
      </c>
      <c r="C43" s="2">
        <v>18</v>
      </c>
      <c r="D43" s="2" t="s">
        <v>83</v>
      </c>
      <c r="E43" s="2">
        <v>3</v>
      </c>
      <c r="F43" s="2">
        <v>2.0539999999999998</v>
      </c>
      <c r="G43" s="2">
        <v>0.106</v>
      </c>
      <c r="H43" s="2">
        <v>10</v>
      </c>
      <c r="I43" s="2">
        <v>2</v>
      </c>
      <c r="J43" s="5">
        <f t="shared" si="2"/>
        <v>1.0321324245374879</v>
      </c>
      <c r="K43" s="5">
        <f t="shared" si="1"/>
        <v>0.10321324245374879</v>
      </c>
    </row>
    <row r="44" spans="1:11" x14ac:dyDescent="0.25">
      <c r="A44" s="2" t="s">
        <v>258</v>
      </c>
      <c r="B44" s="2">
        <v>8</v>
      </c>
      <c r="C44" s="2">
        <v>19</v>
      </c>
      <c r="D44" s="2" t="s">
        <v>84</v>
      </c>
      <c r="E44" s="2">
        <v>4</v>
      </c>
      <c r="F44" s="2">
        <v>0.54300000000000004</v>
      </c>
      <c r="G44" s="2">
        <v>6.6000000000000003E-2</v>
      </c>
      <c r="H44" s="2">
        <v>10</v>
      </c>
      <c r="I44" s="2">
        <v>2</v>
      </c>
      <c r="J44" s="5">
        <f t="shared" si="2"/>
        <v>2.430939226519337</v>
      </c>
      <c r="K44" s="5">
        <f t="shared" si="1"/>
        <v>0.24309392265193369</v>
      </c>
    </row>
    <row r="45" spans="1:11" x14ac:dyDescent="0.25">
      <c r="A45" s="2" t="s">
        <v>258</v>
      </c>
      <c r="B45" s="2">
        <v>8</v>
      </c>
      <c r="C45" s="2">
        <v>20</v>
      </c>
      <c r="D45" s="2" t="s">
        <v>85</v>
      </c>
      <c r="E45" s="2">
        <v>5</v>
      </c>
      <c r="F45" s="2">
        <v>1.778</v>
      </c>
      <c r="G45" s="2">
        <v>9.2999999999999999E-2</v>
      </c>
      <c r="H45" s="2">
        <v>10</v>
      </c>
      <c r="I45" s="2">
        <v>2</v>
      </c>
      <c r="J45" s="5">
        <f t="shared" si="2"/>
        <v>1.046119235095613</v>
      </c>
      <c r="K45" s="5">
        <f t="shared" si="1"/>
        <v>0.10461192350956131</v>
      </c>
    </row>
    <row r="46" spans="1:11" x14ac:dyDescent="0.25">
      <c r="A46" s="2" t="s">
        <v>258</v>
      </c>
      <c r="B46" s="2">
        <v>8</v>
      </c>
      <c r="C46" s="2">
        <v>21</v>
      </c>
      <c r="D46" s="2" t="s">
        <v>86</v>
      </c>
      <c r="E46" s="2">
        <v>6</v>
      </c>
      <c r="F46" s="2">
        <v>0.54500000000000004</v>
      </c>
      <c r="G46" s="2">
        <v>8.2000000000000003E-2</v>
      </c>
      <c r="H46" s="2">
        <v>10</v>
      </c>
      <c r="I46" s="2">
        <v>2</v>
      </c>
      <c r="J46" s="5">
        <f t="shared" si="2"/>
        <v>3.0091743119266057</v>
      </c>
      <c r="K46" s="5">
        <f t="shared" si="1"/>
        <v>0.30091743119266057</v>
      </c>
    </row>
    <row r="47" spans="1:11" x14ac:dyDescent="0.25">
      <c r="A47" s="2" t="s">
        <v>258</v>
      </c>
      <c r="B47" s="2">
        <v>8</v>
      </c>
      <c r="C47" s="2">
        <v>22</v>
      </c>
      <c r="D47" s="2" t="s">
        <v>87</v>
      </c>
      <c r="E47" s="2">
        <v>7</v>
      </c>
      <c r="F47" s="2">
        <v>0.23499999999999999</v>
      </c>
      <c r="G47" s="2">
        <v>1.4E-2</v>
      </c>
      <c r="H47" s="2">
        <v>10</v>
      </c>
      <c r="I47" s="2">
        <v>2</v>
      </c>
      <c r="J47" s="5">
        <f t="shared" si="2"/>
        <v>1.1914893617021278</v>
      </c>
      <c r="K47" s="5">
        <f t="shared" si="1"/>
        <v>0.11914893617021279</v>
      </c>
    </row>
    <row r="48" spans="1:11" x14ac:dyDescent="0.25">
      <c r="A48" s="2" t="s">
        <v>258</v>
      </c>
      <c r="B48" s="2">
        <v>8</v>
      </c>
      <c r="C48" s="2">
        <v>23</v>
      </c>
      <c r="D48" s="2" t="s">
        <v>88</v>
      </c>
      <c r="E48" s="2">
        <v>8</v>
      </c>
      <c r="F48" s="2">
        <v>1.931</v>
      </c>
      <c r="G48" s="2">
        <v>0.22500000000000001</v>
      </c>
      <c r="H48" s="2">
        <v>10</v>
      </c>
      <c r="I48" s="2">
        <v>2</v>
      </c>
      <c r="J48" s="5">
        <f t="shared" si="2"/>
        <v>2.3303987571206628</v>
      </c>
      <c r="K48" s="5">
        <f t="shared" si="1"/>
        <v>0.23303987571206627</v>
      </c>
    </row>
    <row r="49" spans="1:12" x14ac:dyDescent="0.25">
      <c r="A49" s="2" t="s">
        <v>258</v>
      </c>
      <c r="B49" s="2">
        <v>8</v>
      </c>
      <c r="C49" s="2">
        <v>24</v>
      </c>
      <c r="D49" s="2" t="s">
        <v>89</v>
      </c>
      <c r="E49" s="2">
        <v>9</v>
      </c>
      <c r="F49" s="2">
        <v>1.79</v>
      </c>
      <c r="G49" s="2">
        <v>0.188</v>
      </c>
      <c r="H49" s="2">
        <v>10</v>
      </c>
      <c r="I49" s="2">
        <v>2</v>
      </c>
      <c r="J49" s="5">
        <f t="shared" si="2"/>
        <v>2.1005586592178771</v>
      </c>
      <c r="K49" s="5">
        <f t="shared" si="1"/>
        <v>0.21005586592178771</v>
      </c>
    </row>
    <row r="50" spans="1:12" x14ac:dyDescent="0.25">
      <c r="A50" s="2" t="s">
        <v>258</v>
      </c>
      <c r="B50" s="2">
        <v>9</v>
      </c>
      <c r="C50" s="2">
        <v>1</v>
      </c>
      <c r="D50" s="2" t="s">
        <v>90</v>
      </c>
      <c r="E50" s="2" t="s">
        <v>10</v>
      </c>
      <c r="G50" s="4">
        <v>4.4999999999999998E-2</v>
      </c>
      <c r="H50" s="2">
        <v>10</v>
      </c>
      <c r="I50" s="2">
        <v>2</v>
      </c>
      <c r="J50" s="5" t="e">
        <f t="shared" si="2"/>
        <v>#DIV/0!</v>
      </c>
      <c r="K50" s="5" t="e">
        <f t="shared" si="1"/>
        <v>#DIV/0!</v>
      </c>
    </row>
    <row r="51" spans="1:12" x14ac:dyDescent="0.25">
      <c r="A51" s="2" t="s">
        <v>258</v>
      </c>
      <c r="B51" s="2">
        <v>9</v>
      </c>
      <c r="C51" s="2">
        <v>2</v>
      </c>
      <c r="D51" s="2" t="s">
        <v>91</v>
      </c>
      <c r="E51" s="2" t="s">
        <v>92</v>
      </c>
      <c r="F51" s="2">
        <v>4.2</v>
      </c>
      <c r="G51" s="2">
        <v>0.318</v>
      </c>
      <c r="H51" s="2">
        <v>10</v>
      </c>
      <c r="I51" s="2">
        <v>2</v>
      </c>
      <c r="J51" s="5">
        <f t="shared" si="2"/>
        <v>1.5142857142857142</v>
      </c>
      <c r="K51" s="6">
        <f t="shared" si="1"/>
        <v>0.15142857142857141</v>
      </c>
    </row>
    <row r="52" spans="1:12" x14ac:dyDescent="0.25">
      <c r="A52" s="2" t="s">
        <v>258</v>
      </c>
      <c r="B52" s="2">
        <v>9</v>
      </c>
      <c r="C52" s="2">
        <v>3</v>
      </c>
      <c r="D52" s="2" t="s">
        <v>93</v>
      </c>
      <c r="E52" s="2" t="s">
        <v>94</v>
      </c>
      <c r="F52" s="2">
        <v>2.9</v>
      </c>
      <c r="G52" s="2">
        <v>0.34100000000000003</v>
      </c>
      <c r="H52" s="2">
        <v>10</v>
      </c>
      <c r="I52" s="2">
        <v>2</v>
      </c>
      <c r="J52" s="5">
        <f t="shared" si="2"/>
        <v>2.3517241379310345</v>
      </c>
      <c r="K52" s="6">
        <f t="shared" si="1"/>
        <v>0.23517241379310344</v>
      </c>
    </row>
    <row r="53" spans="1:12" x14ac:dyDescent="0.25">
      <c r="A53" s="2" t="s">
        <v>258</v>
      </c>
      <c r="B53" s="2">
        <v>9</v>
      </c>
      <c r="C53" s="2">
        <v>4</v>
      </c>
      <c r="D53" s="2" t="s">
        <v>95</v>
      </c>
      <c r="E53" s="2">
        <v>10</v>
      </c>
      <c r="F53" s="2">
        <v>2.0350000000000001</v>
      </c>
      <c r="G53" s="2">
        <v>0.53800000000000003</v>
      </c>
      <c r="H53" s="2">
        <v>10</v>
      </c>
      <c r="I53" s="2">
        <v>2</v>
      </c>
      <c r="J53" s="5">
        <f t="shared" si="2"/>
        <v>5.2874692874692881</v>
      </c>
      <c r="K53" s="5">
        <f t="shared" si="1"/>
        <v>0.52874692874692886</v>
      </c>
    </row>
    <row r="54" spans="1:12" x14ac:dyDescent="0.25">
      <c r="A54" s="2" t="s">
        <v>258</v>
      </c>
      <c r="B54" s="2">
        <v>9</v>
      </c>
      <c r="C54" s="2">
        <v>5</v>
      </c>
      <c r="D54" s="2" t="s">
        <v>96</v>
      </c>
      <c r="E54" s="2">
        <v>11</v>
      </c>
      <c r="F54" s="2">
        <v>0.46600000000000003</v>
      </c>
      <c r="G54" s="2">
        <v>4.3999999999999997E-2</v>
      </c>
      <c r="H54" s="2">
        <v>10</v>
      </c>
      <c r="I54" s="2">
        <v>2</v>
      </c>
      <c r="J54" s="5">
        <f t="shared" si="2"/>
        <v>1.8884120171673817</v>
      </c>
      <c r="K54" s="5">
        <f t="shared" si="1"/>
        <v>0.18884120171673818</v>
      </c>
    </row>
    <row r="55" spans="1:12" x14ac:dyDescent="0.25">
      <c r="A55" s="2" t="s">
        <v>258</v>
      </c>
      <c r="B55" s="2">
        <v>9</v>
      </c>
      <c r="C55" s="2">
        <v>6</v>
      </c>
      <c r="D55" s="2" t="s">
        <v>97</v>
      </c>
      <c r="E55" s="2">
        <v>12</v>
      </c>
      <c r="F55" s="2">
        <v>2.0030000000000001</v>
      </c>
      <c r="G55" s="2">
        <v>0.17299999999999999</v>
      </c>
      <c r="H55" s="2">
        <v>10</v>
      </c>
      <c r="I55" s="2">
        <v>2</v>
      </c>
      <c r="J55" s="5">
        <f t="shared" si="2"/>
        <v>1.7274088866699948</v>
      </c>
      <c r="K55" s="5">
        <f t="shared" si="1"/>
        <v>0.17274088866699949</v>
      </c>
    </row>
    <row r="56" spans="1:12" x14ac:dyDescent="0.25">
      <c r="A56" s="2" t="s">
        <v>258</v>
      </c>
      <c r="B56" s="2">
        <v>9</v>
      </c>
      <c r="C56" s="2">
        <v>7</v>
      </c>
      <c r="D56" s="2" t="s">
        <v>98</v>
      </c>
      <c r="E56" s="2">
        <v>13</v>
      </c>
      <c r="F56" s="2">
        <v>1.98</v>
      </c>
      <c r="G56" s="2">
        <v>0.16500000000000001</v>
      </c>
      <c r="H56" s="2">
        <v>10</v>
      </c>
      <c r="I56" s="2">
        <v>2</v>
      </c>
      <c r="J56" s="5">
        <f t="shared" si="2"/>
        <v>1.6666666666666667</v>
      </c>
      <c r="K56" s="5">
        <f t="shared" si="1"/>
        <v>0.16666666666666669</v>
      </c>
    </row>
    <row r="57" spans="1:12" x14ac:dyDescent="0.25">
      <c r="A57" s="2" t="s">
        <v>258</v>
      </c>
      <c r="B57" s="2">
        <v>9</v>
      </c>
      <c r="C57" s="2">
        <v>8</v>
      </c>
      <c r="D57" s="2" t="s">
        <v>99</v>
      </c>
      <c r="E57" s="2">
        <v>14</v>
      </c>
      <c r="F57" s="2">
        <v>2.1110000000000002</v>
      </c>
      <c r="G57" s="2">
        <v>9.1999999999999998E-2</v>
      </c>
      <c r="H57" s="2">
        <v>10</v>
      </c>
      <c r="I57" s="2">
        <v>2</v>
      </c>
      <c r="J57" s="5">
        <f t="shared" si="2"/>
        <v>0.87162482235907135</v>
      </c>
      <c r="K57" s="5">
        <f t="shared" si="1"/>
        <v>8.7162482235907141E-2</v>
      </c>
      <c r="L57" s="2" t="s">
        <v>265</v>
      </c>
    </row>
    <row r="58" spans="1:12" x14ac:dyDescent="0.25">
      <c r="A58" s="2" t="s">
        <v>258</v>
      </c>
      <c r="B58" s="2">
        <v>9</v>
      </c>
      <c r="C58" s="2">
        <v>9</v>
      </c>
      <c r="D58" s="2" t="s">
        <v>100</v>
      </c>
      <c r="E58" s="2">
        <v>15</v>
      </c>
      <c r="F58" s="2">
        <v>1.556</v>
      </c>
      <c r="G58" s="2">
        <v>0.20399999999999999</v>
      </c>
      <c r="H58" s="2">
        <v>10</v>
      </c>
      <c r="I58" s="2">
        <v>2</v>
      </c>
      <c r="J58" s="5">
        <f t="shared" si="2"/>
        <v>2.6221079691516711</v>
      </c>
      <c r="K58" s="5">
        <f t="shared" si="1"/>
        <v>0.26221079691516713</v>
      </c>
      <c r="L58" s="2" t="s">
        <v>265</v>
      </c>
    </row>
    <row r="59" spans="1:12" x14ac:dyDescent="0.25">
      <c r="A59" s="2" t="s">
        <v>258</v>
      </c>
      <c r="B59" s="2">
        <v>9</v>
      </c>
      <c r="C59" s="2">
        <v>10</v>
      </c>
      <c r="D59" s="2" t="s">
        <v>101</v>
      </c>
      <c r="E59" s="2">
        <v>16</v>
      </c>
      <c r="F59" s="2">
        <v>0.61899999999999999</v>
      </c>
      <c r="G59" s="2">
        <v>0.09</v>
      </c>
      <c r="H59" s="2">
        <v>10</v>
      </c>
      <c r="I59" s="2">
        <v>2</v>
      </c>
      <c r="J59" s="5">
        <f t="shared" si="2"/>
        <v>2.9079159935379644</v>
      </c>
      <c r="K59" s="5">
        <f t="shared" si="1"/>
        <v>0.29079159935379645</v>
      </c>
    </row>
    <row r="60" spans="1:12" x14ac:dyDescent="0.25">
      <c r="A60" s="2" t="s">
        <v>258</v>
      </c>
      <c r="B60" s="2">
        <v>9</v>
      </c>
      <c r="C60" s="2">
        <v>11</v>
      </c>
      <c r="D60" s="2" t="s">
        <v>102</v>
      </c>
      <c r="E60" s="2">
        <v>17</v>
      </c>
      <c r="F60" s="2">
        <v>2.0939999999999999</v>
      </c>
      <c r="G60" s="2">
        <v>0.24399999999999999</v>
      </c>
      <c r="H60" s="2">
        <v>10</v>
      </c>
      <c r="I60" s="2">
        <v>2</v>
      </c>
      <c r="J60" s="5">
        <f t="shared" si="2"/>
        <v>2.3304680038204393</v>
      </c>
      <c r="K60" s="5">
        <f t="shared" si="1"/>
        <v>0.23304680038204392</v>
      </c>
      <c r="L60" s="2" t="s">
        <v>265</v>
      </c>
    </row>
    <row r="61" spans="1:12" x14ac:dyDescent="0.25">
      <c r="A61" s="2" t="s">
        <v>258</v>
      </c>
      <c r="B61" s="2">
        <v>9</v>
      </c>
      <c r="C61" s="2">
        <v>12</v>
      </c>
      <c r="D61" s="2" t="s">
        <v>103</v>
      </c>
      <c r="E61" s="2">
        <v>18</v>
      </c>
      <c r="F61" s="2">
        <v>2.0299999999999998</v>
      </c>
      <c r="G61" s="2">
        <v>0.20100000000000001</v>
      </c>
      <c r="H61" s="2">
        <v>10</v>
      </c>
      <c r="I61" s="2">
        <v>2</v>
      </c>
      <c r="J61" s="5">
        <f t="shared" si="2"/>
        <v>1.9802955665024635</v>
      </c>
      <c r="K61" s="5">
        <f t="shared" si="1"/>
        <v>0.19802955665024635</v>
      </c>
      <c r="L61" s="2" t="s">
        <v>265</v>
      </c>
    </row>
    <row r="62" spans="1:12" x14ac:dyDescent="0.25">
      <c r="A62" s="2" t="s">
        <v>258</v>
      </c>
      <c r="B62" s="2">
        <v>10</v>
      </c>
      <c r="C62" s="2">
        <v>13</v>
      </c>
      <c r="D62" s="2" t="s">
        <v>104</v>
      </c>
      <c r="E62" s="2" t="s">
        <v>10</v>
      </c>
      <c r="G62" s="4">
        <v>4.9000000000000002E-2</v>
      </c>
      <c r="H62" s="2">
        <v>10</v>
      </c>
      <c r="I62" s="2">
        <v>2</v>
      </c>
      <c r="J62" s="5" t="e">
        <f t="shared" si="2"/>
        <v>#DIV/0!</v>
      </c>
      <c r="K62" s="5" t="e">
        <f t="shared" si="1"/>
        <v>#DIV/0!</v>
      </c>
    </row>
    <row r="63" spans="1:12" x14ac:dyDescent="0.25">
      <c r="A63" s="2" t="s">
        <v>258</v>
      </c>
      <c r="B63" s="2">
        <v>10</v>
      </c>
      <c r="C63" s="2">
        <v>14</v>
      </c>
      <c r="D63" s="2" t="s">
        <v>105</v>
      </c>
      <c r="E63" s="2" t="s">
        <v>106</v>
      </c>
      <c r="F63" s="2">
        <v>2.5</v>
      </c>
      <c r="G63" s="2">
        <v>0.27700000000000002</v>
      </c>
      <c r="H63" s="2">
        <v>10</v>
      </c>
      <c r="I63" s="2">
        <v>2</v>
      </c>
      <c r="J63" s="5">
        <f t="shared" si="2"/>
        <v>2.2160000000000002</v>
      </c>
      <c r="K63" s="6">
        <f t="shared" si="1"/>
        <v>0.22160000000000002</v>
      </c>
    </row>
    <row r="64" spans="1:12" x14ac:dyDescent="0.25">
      <c r="A64" s="2" t="s">
        <v>258</v>
      </c>
      <c r="B64" s="2">
        <v>10</v>
      </c>
      <c r="C64" s="2">
        <v>15</v>
      </c>
      <c r="D64" s="2" t="s">
        <v>107</v>
      </c>
      <c r="E64" s="2" t="s">
        <v>108</v>
      </c>
      <c r="F64" s="2">
        <v>3.2</v>
      </c>
      <c r="G64" s="2">
        <v>0.27800000000000002</v>
      </c>
      <c r="H64" s="2">
        <v>10</v>
      </c>
      <c r="I64" s="2">
        <v>2</v>
      </c>
      <c r="J64" s="5">
        <f t="shared" si="2"/>
        <v>1.7375</v>
      </c>
      <c r="K64" s="6">
        <f t="shared" si="1"/>
        <v>0.17375000000000002</v>
      </c>
    </row>
    <row r="65" spans="1:12" x14ac:dyDescent="0.25">
      <c r="A65" s="2" t="s">
        <v>258</v>
      </c>
      <c r="B65" s="2">
        <v>10</v>
      </c>
      <c r="C65" s="2">
        <v>16</v>
      </c>
      <c r="D65" s="2" t="s">
        <v>109</v>
      </c>
      <c r="E65" s="2">
        <v>19</v>
      </c>
      <c r="F65" s="2">
        <v>2.052</v>
      </c>
      <c r="G65" s="2">
        <v>0.16900000000000001</v>
      </c>
      <c r="H65" s="2">
        <v>10</v>
      </c>
      <c r="I65" s="2">
        <v>2</v>
      </c>
      <c r="J65" s="5">
        <f t="shared" si="2"/>
        <v>1.6471734892787526</v>
      </c>
      <c r="K65" s="5">
        <f t="shared" si="1"/>
        <v>0.16471734892787526</v>
      </c>
      <c r="L65" s="2" t="s">
        <v>265</v>
      </c>
    </row>
    <row r="66" spans="1:12" x14ac:dyDescent="0.25">
      <c r="A66" s="2" t="s">
        <v>258</v>
      </c>
      <c r="B66" s="2">
        <v>10</v>
      </c>
      <c r="C66" s="2">
        <v>17</v>
      </c>
      <c r="D66" s="2" t="s">
        <v>110</v>
      </c>
      <c r="E66" s="2">
        <v>20</v>
      </c>
      <c r="F66" s="2">
        <v>0.63700000000000001</v>
      </c>
      <c r="G66" s="2">
        <v>4.3999999999999997E-2</v>
      </c>
      <c r="H66" s="2">
        <v>10</v>
      </c>
      <c r="I66" s="2">
        <v>2</v>
      </c>
      <c r="J66" s="5">
        <f t="shared" ref="J66:J97" si="3">(G66*10*2)/F66</f>
        <v>1.3814756671899526</v>
      </c>
      <c r="K66" s="5">
        <f t="shared" si="1"/>
        <v>0.13814756671899525</v>
      </c>
    </row>
    <row r="67" spans="1:12" x14ac:dyDescent="0.25">
      <c r="A67" s="2" t="s">
        <v>258</v>
      </c>
      <c r="B67" s="2">
        <v>10</v>
      </c>
      <c r="C67" s="2">
        <v>18</v>
      </c>
      <c r="D67" s="2" t="s">
        <v>111</v>
      </c>
      <c r="E67" s="2">
        <v>21</v>
      </c>
      <c r="F67" s="2">
        <v>1.97</v>
      </c>
      <c r="G67" s="2">
        <v>0.105</v>
      </c>
      <c r="H67" s="2">
        <v>10</v>
      </c>
      <c r="I67" s="2">
        <v>2</v>
      </c>
      <c r="J67" s="5">
        <f t="shared" si="3"/>
        <v>1.0659898477157361</v>
      </c>
      <c r="K67" s="5">
        <f t="shared" ref="K67:K130" si="4">J67/10</f>
        <v>0.10659898477157362</v>
      </c>
      <c r="L67" s="2" t="s">
        <v>265</v>
      </c>
    </row>
    <row r="68" spans="1:12" x14ac:dyDescent="0.25">
      <c r="A68" s="2" t="s">
        <v>258</v>
      </c>
      <c r="B68" s="2">
        <v>10</v>
      </c>
      <c r="C68" s="2">
        <v>19</v>
      </c>
      <c r="D68" s="2" t="s">
        <v>112</v>
      </c>
      <c r="E68" s="2">
        <v>22</v>
      </c>
      <c r="F68" s="2">
        <v>2.0179999999999998</v>
      </c>
      <c r="G68" s="2">
        <v>0.14699999999999999</v>
      </c>
      <c r="H68" s="2">
        <v>10</v>
      </c>
      <c r="I68" s="2">
        <v>2</v>
      </c>
      <c r="J68" s="5">
        <f t="shared" si="3"/>
        <v>1.4568880079286424</v>
      </c>
      <c r="K68" s="5">
        <f t="shared" si="4"/>
        <v>0.14568880079286423</v>
      </c>
    </row>
    <row r="69" spans="1:12" x14ac:dyDescent="0.25">
      <c r="A69" s="2" t="s">
        <v>258</v>
      </c>
      <c r="B69" s="2">
        <v>10</v>
      </c>
      <c r="C69" s="2">
        <v>20</v>
      </c>
      <c r="D69" s="2" t="s">
        <v>113</v>
      </c>
      <c r="E69" s="2">
        <v>23</v>
      </c>
      <c r="F69" s="2">
        <v>2.0510000000000002</v>
      </c>
      <c r="G69" s="2">
        <v>0.12</v>
      </c>
      <c r="H69" s="2">
        <v>10</v>
      </c>
      <c r="I69" s="2">
        <v>2</v>
      </c>
      <c r="J69" s="5">
        <f t="shared" si="3"/>
        <v>1.1701608971233544</v>
      </c>
      <c r="K69" s="5">
        <f t="shared" si="4"/>
        <v>0.11701608971233543</v>
      </c>
      <c r="L69" s="2" t="s">
        <v>265</v>
      </c>
    </row>
    <row r="70" spans="1:12" x14ac:dyDescent="0.25">
      <c r="A70" s="2" t="s">
        <v>258</v>
      </c>
      <c r="B70" s="2">
        <v>10</v>
      </c>
      <c r="C70" s="2">
        <v>21</v>
      </c>
      <c r="D70" s="2" t="s">
        <v>114</v>
      </c>
      <c r="E70" s="2">
        <v>24</v>
      </c>
      <c r="F70" s="2">
        <v>1.98</v>
      </c>
      <c r="G70" s="2">
        <v>0.22</v>
      </c>
      <c r="H70" s="2">
        <v>10</v>
      </c>
      <c r="I70" s="2">
        <v>2</v>
      </c>
      <c r="J70" s="5">
        <f t="shared" si="3"/>
        <v>2.2222222222222223</v>
      </c>
      <c r="K70" s="5">
        <f t="shared" si="4"/>
        <v>0.22222222222222224</v>
      </c>
    </row>
    <row r="71" spans="1:12" x14ac:dyDescent="0.25">
      <c r="A71" s="2" t="s">
        <v>258</v>
      </c>
      <c r="B71" s="2">
        <v>10</v>
      </c>
      <c r="C71" s="2">
        <v>22</v>
      </c>
      <c r="D71" s="2" t="s">
        <v>115</v>
      </c>
      <c r="E71" s="2">
        <v>25</v>
      </c>
      <c r="F71" s="2">
        <v>1.754</v>
      </c>
      <c r="G71" s="2">
        <v>0.121</v>
      </c>
      <c r="H71" s="2">
        <v>10</v>
      </c>
      <c r="I71" s="2">
        <v>2</v>
      </c>
      <c r="J71" s="5">
        <f t="shared" si="3"/>
        <v>1.379703534777651</v>
      </c>
      <c r="K71" s="5">
        <f t="shared" si="4"/>
        <v>0.1379703534777651</v>
      </c>
    </row>
    <row r="72" spans="1:12" x14ac:dyDescent="0.25">
      <c r="A72" s="2" t="s">
        <v>258</v>
      </c>
      <c r="B72" s="2">
        <v>10</v>
      </c>
      <c r="C72" s="2">
        <v>23</v>
      </c>
      <c r="D72" s="2" t="s">
        <v>116</v>
      </c>
      <c r="E72" s="2">
        <v>26</v>
      </c>
      <c r="F72" s="2">
        <v>1.9890000000000001</v>
      </c>
      <c r="G72" s="2">
        <v>9.1999999999999998E-2</v>
      </c>
      <c r="H72" s="2">
        <v>10</v>
      </c>
      <c r="I72" s="2">
        <v>2</v>
      </c>
      <c r="J72" s="5">
        <f t="shared" si="3"/>
        <v>0.92508798391151326</v>
      </c>
      <c r="K72" s="5">
        <f t="shared" si="4"/>
        <v>9.2508798391151323E-2</v>
      </c>
      <c r="L72" s="2" t="s">
        <v>265</v>
      </c>
    </row>
    <row r="73" spans="1:12" x14ac:dyDescent="0.25">
      <c r="A73" s="2" t="s">
        <v>258</v>
      </c>
      <c r="B73" s="2">
        <v>10</v>
      </c>
      <c r="C73" s="2">
        <v>24</v>
      </c>
      <c r="D73" s="2" t="s">
        <v>117</v>
      </c>
      <c r="E73" s="2">
        <v>27</v>
      </c>
      <c r="F73" s="2">
        <v>2.0259999999999998</v>
      </c>
      <c r="G73" s="2">
        <v>0.10100000000000001</v>
      </c>
      <c r="H73" s="2">
        <v>10</v>
      </c>
      <c r="I73" s="2">
        <v>2</v>
      </c>
      <c r="J73" s="5">
        <f t="shared" si="3"/>
        <v>0.99703849950641665</v>
      </c>
      <c r="K73" s="5">
        <f t="shared" si="4"/>
        <v>9.970384995064166E-2</v>
      </c>
    </row>
    <row r="74" spans="1:12" x14ac:dyDescent="0.25">
      <c r="A74" s="2" t="s">
        <v>259</v>
      </c>
      <c r="B74" s="2">
        <v>11</v>
      </c>
      <c r="C74" s="2">
        <v>1</v>
      </c>
      <c r="D74" s="2" t="s">
        <v>118</v>
      </c>
      <c r="E74" s="2" t="s">
        <v>10</v>
      </c>
      <c r="G74" s="4">
        <v>5.5E-2</v>
      </c>
      <c r="H74" s="2">
        <v>10</v>
      </c>
      <c r="I74" s="2">
        <v>2</v>
      </c>
      <c r="J74" s="5" t="e">
        <f t="shared" si="3"/>
        <v>#DIV/0!</v>
      </c>
      <c r="K74" s="5" t="e">
        <f t="shared" si="4"/>
        <v>#DIV/0!</v>
      </c>
    </row>
    <row r="75" spans="1:12" x14ac:dyDescent="0.25">
      <c r="A75" s="2" t="s">
        <v>259</v>
      </c>
      <c r="B75" s="2">
        <v>11</v>
      </c>
      <c r="C75" s="2">
        <v>2</v>
      </c>
      <c r="D75" s="2" t="s">
        <v>119</v>
      </c>
      <c r="E75" s="2" t="s">
        <v>120</v>
      </c>
      <c r="F75" s="2">
        <v>2.2000000000000002</v>
      </c>
      <c r="G75" s="2">
        <v>0.26300000000000001</v>
      </c>
      <c r="H75" s="2">
        <v>10</v>
      </c>
      <c r="I75" s="2">
        <v>2</v>
      </c>
      <c r="J75" s="5">
        <f t="shared" si="3"/>
        <v>2.3909090909090907</v>
      </c>
      <c r="K75" s="6">
        <f t="shared" si="4"/>
        <v>0.23909090909090908</v>
      </c>
    </row>
    <row r="76" spans="1:12" x14ac:dyDescent="0.25">
      <c r="A76" s="2" t="s">
        <v>259</v>
      </c>
      <c r="B76" s="2">
        <v>11</v>
      </c>
      <c r="C76" s="2">
        <v>3</v>
      </c>
      <c r="D76" s="2" t="s">
        <v>121</v>
      </c>
      <c r="E76" s="2" t="s">
        <v>122</v>
      </c>
      <c r="F76" s="2">
        <v>0.99399999999999999</v>
      </c>
      <c r="G76" s="2">
        <v>6.9000000000000006E-2</v>
      </c>
      <c r="H76" s="2">
        <v>10</v>
      </c>
      <c r="I76" s="2">
        <v>2</v>
      </c>
      <c r="J76" s="5">
        <f t="shared" si="3"/>
        <v>1.3883299798792759</v>
      </c>
      <c r="K76" s="5">
        <f t="shared" si="4"/>
        <v>0.13883299798792759</v>
      </c>
    </row>
    <row r="77" spans="1:12" x14ac:dyDescent="0.25">
      <c r="A77" s="2" t="s">
        <v>259</v>
      </c>
      <c r="B77" s="2">
        <v>11</v>
      </c>
      <c r="C77" s="2">
        <v>4</v>
      </c>
      <c r="D77" s="2" t="s">
        <v>123</v>
      </c>
      <c r="E77" s="2" t="s">
        <v>124</v>
      </c>
      <c r="F77" s="2">
        <v>0.93</v>
      </c>
      <c r="G77" s="2">
        <v>9.9000000000000005E-2</v>
      </c>
      <c r="H77" s="2">
        <v>10</v>
      </c>
      <c r="I77" s="2">
        <v>2</v>
      </c>
      <c r="J77" s="5">
        <f t="shared" si="3"/>
        <v>2.129032258064516</v>
      </c>
      <c r="K77" s="5">
        <f t="shared" si="4"/>
        <v>0.2129032258064516</v>
      </c>
    </row>
    <row r="78" spans="1:12" x14ac:dyDescent="0.25">
      <c r="A78" s="2" t="s">
        <v>259</v>
      </c>
      <c r="B78" s="2">
        <v>11</v>
      </c>
      <c r="C78" s="2">
        <v>5</v>
      </c>
      <c r="D78" s="2" t="s">
        <v>125</v>
      </c>
      <c r="E78" s="2" t="s">
        <v>126</v>
      </c>
      <c r="F78" s="2">
        <v>1.994</v>
      </c>
      <c r="G78" s="2">
        <v>0.13700000000000001</v>
      </c>
      <c r="H78" s="2">
        <v>10</v>
      </c>
      <c r="I78" s="2">
        <v>2</v>
      </c>
      <c r="J78" s="5">
        <f t="shared" si="3"/>
        <v>1.3741223671013041</v>
      </c>
      <c r="K78" s="5">
        <f t="shared" si="4"/>
        <v>0.13741223671013042</v>
      </c>
    </row>
    <row r="79" spans="1:12" x14ac:dyDescent="0.25">
      <c r="A79" s="2" t="s">
        <v>259</v>
      </c>
      <c r="B79" s="2">
        <v>11</v>
      </c>
      <c r="C79" s="2">
        <v>6</v>
      </c>
      <c r="D79" s="2" t="s">
        <v>127</v>
      </c>
      <c r="E79" s="2" t="s">
        <v>128</v>
      </c>
      <c r="F79" s="2">
        <v>1.575</v>
      </c>
      <c r="G79" s="2">
        <v>7.6999999999999999E-2</v>
      </c>
      <c r="H79" s="2">
        <v>10</v>
      </c>
      <c r="I79" s="2">
        <v>2</v>
      </c>
      <c r="J79" s="5">
        <f t="shared" si="3"/>
        <v>0.97777777777777786</v>
      </c>
      <c r="K79" s="5">
        <f t="shared" si="4"/>
        <v>9.7777777777777783E-2</v>
      </c>
    </row>
    <row r="80" spans="1:12" x14ac:dyDescent="0.25">
      <c r="A80" s="2" t="s">
        <v>259</v>
      </c>
      <c r="B80" s="2">
        <v>11</v>
      </c>
      <c r="C80" s="2">
        <v>7</v>
      </c>
      <c r="D80" s="2" t="s">
        <v>129</v>
      </c>
      <c r="E80" s="2" t="s">
        <v>130</v>
      </c>
      <c r="F80" s="2">
        <v>2.0739999999999998</v>
      </c>
      <c r="G80" s="2">
        <v>0.17499999999999999</v>
      </c>
      <c r="H80" s="2">
        <v>10</v>
      </c>
      <c r="I80" s="2">
        <v>2</v>
      </c>
      <c r="J80" s="5">
        <f t="shared" si="3"/>
        <v>1.6875602700096433</v>
      </c>
      <c r="K80" s="5">
        <f t="shared" si="4"/>
        <v>0.16875602700096431</v>
      </c>
    </row>
    <row r="81" spans="1:12" x14ac:dyDescent="0.25">
      <c r="A81" s="2" t="s">
        <v>259</v>
      </c>
      <c r="B81" s="2">
        <v>11</v>
      </c>
      <c r="C81" s="2">
        <v>8</v>
      </c>
      <c r="D81" s="2" t="s">
        <v>131</v>
      </c>
      <c r="E81" s="2" t="s">
        <v>132</v>
      </c>
      <c r="F81" s="2">
        <v>2.17</v>
      </c>
      <c r="G81" s="2">
        <v>0.193</v>
      </c>
      <c r="H81" s="2">
        <v>10</v>
      </c>
      <c r="I81" s="2">
        <v>2</v>
      </c>
      <c r="J81" s="5">
        <f t="shared" si="3"/>
        <v>1.7788018433179726</v>
      </c>
      <c r="K81" s="5">
        <f t="shared" si="4"/>
        <v>0.17788018433179725</v>
      </c>
      <c r="L81" s="2" t="s">
        <v>265</v>
      </c>
    </row>
    <row r="82" spans="1:12" x14ac:dyDescent="0.25">
      <c r="A82" s="2" t="s">
        <v>259</v>
      </c>
      <c r="B82" s="2">
        <v>11</v>
      </c>
      <c r="C82" s="2">
        <v>9</v>
      </c>
      <c r="D82" s="2" t="s">
        <v>133</v>
      </c>
      <c r="E82" s="2" t="s">
        <v>134</v>
      </c>
      <c r="F82" s="2">
        <v>1.8220000000000001</v>
      </c>
      <c r="G82" s="2">
        <v>0.10100000000000001</v>
      </c>
      <c r="H82" s="2">
        <v>10</v>
      </c>
      <c r="I82" s="2">
        <v>2</v>
      </c>
      <c r="J82" s="5">
        <f t="shared" si="3"/>
        <v>1.1086717892425906</v>
      </c>
      <c r="K82" s="5">
        <f t="shared" si="4"/>
        <v>0.11086717892425905</v>
      </c>
    </row>
    <row r="83" spans="1:12" x14ac:dyDescent="0.25">
      <c r="A83" s="2" t="s">
        <v>259</v>
      </c>
      <c r="B83" s="2">
        <v>11</v>
      </c>
      <c r="C83" s="2">
        <v>10</v>
      </c>
      <c r="D83" s="2" t="s">
        <v>135</v>
      </c>
      <c r="E83" s="2" t="s">
        <v>136</v>
      </c>
      <c r="F83" s="2">
        <v>2.012</v>
      </c>
      <c r="G83" s="2">
        <v>0.111</v>
      </c>
      <c r="H83" s="2">
        <v>10</v>
      </c>
      <c r="I83" s="2">
        <v>2</v>
      </c>
      <c r="J83" s="5">
        <f t="shared" si="3"/>
        <v>1.1033797216699801</v>
      </c>
      <c r="K83" s="5">
        <f t="shared" si="4"/>
        <v>0.11033797216699801</v>
      </c>
    </row>
    <row r="84" spans="1:12" x14ac:dyDescent="0.25">
      <c r="A84" s="2" t="s">
        <v>259</v>
      </c>
      <c r="B84" s="2">
        <v>11</v>
      </c>
      <c r="C84" s="2">
        <v>11</v>
      </c>
      <c r="D84" s="2" t="s">
        <v>137</v>
      </c>
      <c r="E84" s="2" t="s">
        <v>138</v>
      </c>
      <c r="F84" s="2">
        <v>3</v>
      </c>
      <c r="G84" s="2">
        <v>0.40100000000000002</v>
      </c>
      <c r="H84" s="2">
        <v>10</v>
      </c>
      <c r="I84" s="2">
        <v>2</v>
      </c>
      <c r="J84" s="5">
        <f t="shared" si="3"/>
        <v>2.6733333333333333</v>
      </c>
      <c r="K84" s="6">
        <f t="shared" si="4"/>
        <v>0.26733333333333331</v>
      </c>
    </row>
    <row r="85" spans="1:12" x14ac:dyDescent="0.25">
      <c r="A85" s="2" t="s">
        <v>259</v>
      </c>
      <c r="B85" s="2">
        <v>11</v>
      </c>
      <c r="C85" s="2">
        <v>12</v>
      </c>
      <c r="D85" s="2" t="s">
        <v>139</v>
      </c>
      <c r="E85" s="2" t="s">
        <v>10</v>
      </c>
      <c r="G85" s="4">
        <v>0.03</v>
      </c>
      <c r="H85" s="2">
        <v>10</v>
      </c>
      <c r="I85" s="2">
        <v>2</v>
      </c>
      <c r="J85" s="5" t="e">
        <f t="shared" si="3"/>
        <v>#DIV/0!</v>
      </c>
      <c r="K85" s="5" t="e">
        <f t="shared" si="4"/>
        <v>#DIV/0!</v>
      </c>
    </row>
    <row r="86" spans="1:12" x14ac:dyDescent="0.25">
      <c r="A86" s="2" t="s">
        <v>259</v>
      </c>
      <c r="B86" s="2">
        <v>12</v>
      </c>
      <c r="C86" s="2">
        <v>13</v>
      </c>
      <c r="D86" s="2" t="s">
        <v>140</v>
      </c>
      <c r="E86" s="2" t="s">
        <v>10</v>
      </c>
      <c r="G86" s="4">
        <v>4.7E-2</v>
      </c>
      <c r="H86" s="2">
        <v>10</v>
      </c>
      <c r="I86" s="2">
        <v>2</v>
      </c>
      <c r="J86" s="5" t="e">
        <f t="shared" si="3"/>
        <v>#DIV/0!</v>
      </c>
      <c r="K86" s="5" t="e">
        <f t="shared" si="4"/>
        <v>#DIV/0!</v>
      </c>
    </row>
    <row r="87" spans="1:12" x14ac:dyDescent="0.25">
      <c r="A87" s="2" t="s">
        <v>259</v>
      </c>
      <c r="B87" s="2">
        <v>12</v>
      </c>
      <c r="C87" s="2">
        <v>14</v>
      </c>
      <c r="D87" s="2" t="s">
        <v>141</v>
      </c>
      <c r="E87" s="2" t="s">
        <v>142</v>
      </c>
      <c r="F87" s="2">
        <v>1.9</v>
      </c>
      <c r="G87" s="2">
        <v>0.216</v>
      </c>
      <c r="H87" s="2">
        <v>10</v>
      </c>
      <c r="I87" s="2">
        <v>2</v>
      </c>
      <c r="J87" s="5">
        <f t="shared" si="3"/>
        <v>2.2736842105263162</v>
      </c>
      <c r="K87" s="6">
        <f t="shared" si="4"/>
        <v>0.22736842105263161</v>
      </c>
    </row>
    <row r="88" spans="1:12" x14ac:dyDescent="0.25">
      <c r="A88" s="2" t="s">
        <v>259</v>
      </c>
      <c r="B88" s="2">
        <v>12</v>
      </c>
      <c r="C88" s="2">
        <v>15</v>
      </c>
      <c r="D88" s="2" t="s">
        <v>143</v>
      </c>
      <c r="E88" s="2" t="s">
        <v>144</v>
      </c>
      <c r="F88" s="2">
        <v>2.2090000000000001</v>
      </c>
      <c r="G88" s="2">
        <v>0.126</v>
      </c>
      <c r="H88" s="2">
        <v>10</v>
      </c>
      <c r="I88" s="2">
        <v>2</v>
      </c>
      <c r="J88" s="5">
        <f t="shared" si="3"/>
        <v>1.1407876867360796</v>
      </c>
      <c r="K88" s="5">
        <f t="shared" si="4"/>
        <v>0.11407876867360796</v>
      </c>
      <c r="L88" s="2" t="s">
        <v>265</v>
      </c>
    </row>
    <row r="89" spans="1:12" x14ac:dyDescent="0.25">
      <c r="A89" s="2" t="s">
        <v>259</v>
      </c>
      <c r="B89" s="2">
        <v>12</v>
      </c>
      <c r="C89" s="2">
        <v>16</v>
      </c>
      <c r="D89" s="2" t="s">
        <v>145</v>
      </c>
      <c r="E89" s="2" t="s">
        <v>146</v>
      </c>
      <c r="F89" s="2">
        <v>1.9179999999999999</v>
      </c>
      <c r="G89" s="2">
        <v>7.6999999999999999E-2</v>
      </c>
      <c r="H89" s="2">
        <v>10</v>
      </c>
      <c r="I89" s="2">
        <v>2</v>
      </c>
      <c r="J89" s="5">
        <f t="shared" si="3"/>
        <v>0.8029197080291971</v>
      </c>
      <c r="K89" s="5">
        <f t="shared" si="4"/>
        <v>8.0291970802919707E-2</v>
      </c>
    </row>
    <row r="90" spans="1:12" x14ac:dyDescent="0.25">
      <c r="A90" s="2" t="s">
        <v>259</v>
      </c>
      <c r="B90" s="2">
        <v>12</v>
      </c>
      <c r="C90" s="2">
        <v>17</v>
      </c>
      <c r="D90" s="2" t="s">
        <v>147</v>
      </c>
      <c r="E90" s="2" t="s">
        <v>148</v>
      </c>
      <c r="F90" s="2">
        <v>1.33</v>
      </c>
      <c r="G90" s="2">
        <v>0.13200000000000001</v>
      </c>
      <c r="H90" s="2">
        <v>10</v>
      </c>
      <c r="I90" s="2">
        <v>2</v>
      </c>
      <c r="J90" s="5">
        <f t="shared" si="3"/>
        <v>1.9849624060150375</v>
      </c>
      <c r="K90" s="5">
        <f t="shared" si="4"/>
        <v>0.19849624060150375</v>
      </c>
    </row>
    <row r="91" spans="1:12" x14ac:dyDescent="0.25">
      <c r="A91" s="2" t="s">
        <v>259</v>
      </c>
      <c r="B91" s="2">
        <v>12</v>
      </c>
      <c r="C91" s="2">
        <v>18</v>
      </c>
      <c r="D91" s="2" t="s">
        <v>149</v>
      </c>
      <c r="E91" s="2" t="s">
        <v>150</v>
      </c>
      <c r="F91" s="2">
        <v>1.504</v>
      </c>
      <c r="G91" s="2">
        <v>9.6000000000000002E-2</v>
      </c>
      <c r="H91" s="2">
        <v>10</v>
      </c>
      <c r="I91" s="2">
        <v>2</v>
      </c>
      <c r="J91" s="5">
        <f t="shared" si="3"/>
        <v>1.2765957446808509</v>
      </c>
      <c r="K91" s="5">
        <f t="shared" si="4"/>
        <v>0.1276595744680851</v>
      </c>
    </row>
    <row r="92" spans="1:12" x14ac:dyDescent="0.25">
      <c r="A92" s="2" t="s">
        <v>259</v>
      </c>
      <c r="B92" s="2">
        <v>12</v>
      </c>
      <c r="C92" s="2">
        <v>19</v>
      </c>
      <c r="D92" s="2" t="s">
        <v>151</v>
      </c>
      <c r="E92" s="2" t="s">
        <v>152</v>
      </c>
      <c r="F92" s="2">
        <v>2.0419999999999998</v>
      </c>
      <c r="G92" s="2">
        <v>0.14499999999999999</v>
      </c>
      <c r="H92" s="2">
        <v>10</v>
      </c>
      <c r="I92" s="2">
        <v>2</v>
      </c>
      <c r="J92" s="5">
        <f t="shared" si="3"/>
        <v>1.4201762977473067</v>
      </c>
      <c r="K92" s="5">
        <f t="shared" si="4"/>
        <v>0.14201762977473067</v>
      </c>
    </row>
    <row r="93" spans="1:12" x14ac:dyDescent="0.25">
      <c r="A93" s="2" t="s">
        <v>259</v>
      </c>
      <c r="B93" s="2">
        <v>12</v>
      </c>
      <c r="C93" s="2">
        <v>20</v>
      </c>
      <c r="D93" s="2" t="s">
        <v>153</v>
      </c>
      <c r="E93" s="2" t="s">
        <v>154</v>
      </c>
      <c r="F93" s="2">
        <v>1.325</v>
      </c>
      <c r="G93" s="2">
        <v>0.251</v>
      </c>
      <c r="H93" s="2">
        <v>10</v>
      </c>
      <c r="I93" s="2">
        <v>2</v>
      </c>
      <c r="J93" s="5">
        <f t="shared" si="3"/>
        <v>3.7886792452830185</v>
      </c>
      <c r="K93" s="5">
        <f t="shared" si="4"/>
        <v>0.37886792452830187</v>
      </c>
    </row>
    <row r="94" spans="1:12" x14ac:dyDescent="0.25">
      <c r="A94" s="2" t="s">
        <v>259</v>
      </c>
      <c r="B94" s="2">
        <v>12</v>
      </c>
      <c r="C94" s="2">
        <v>21</v>
      </c>
      <c r="D94" s="2" t="s">
        <v>155</v>
      </c>
      <c r="E94" s="2" t="s">
        <v>156</v>
      </c>
      <c r="F94" s="2">
        <v>2.1859999999999999</v>
      </c>
      <c r="G94" s="2">
        <v>0.125</v>
      </c>
      <c r="H94" s="2">
        <v>10</v>
      </c>
      <c r="I94" s="2">
        <v>2</v>
      </c>
      <c r="J94" s="5">
        <f t="shared" si="3"/>
        <v>1.1436413540713632</v>
      </c>
      <c r="K94" s="5">
        <f t="shared" si="4"/>
        <v>0.11436413540713633</v>
      </c>
    </row>
    <row r="95" spans="1:12" x14ac:dyDescent="0.25">
      <c r="A95" s="2" t="s">
        <v>259</v>
      </c>
      <c r="B95" s="2">
        <v>12</v>
      </c>
      <c r="C95" s="2">
        <v>22</v>
      </c>
      <c r="D95" s="2" t="s">
        <v>157</v>
      </c>
      <c r="E95" s="2" t="s">
        <v>158</v>
      </c>
      <c r="F95" s="2">
        <v>1.407</v>
      </c>
      <c r="G95" s="2">
        <v>0.105</v>
      </c>
      <c r="H95" s="2">
        <v>10</v>
      </c>
      <c r="I95" s="2">
        <v>2</v>
      </c>
      <c r="J95" s="5">
        <f t="shared" si="3"/>
        <v>1.4925373134328359</v>
      </c>
      <c r="K95" s="5">
        <f t="shared" si="4"/>
        <v>0.1492537313432836</v>
      </c>
    </row>
    <row r="96" spans="1:12" x14ac:dyDescent="0.25">
      <c r="A96" s="2" t="s">
        <v>259</v>
      </c>
      <c r="B96" s="2">
        <v>12</v>
      </c>
      <c r="C96" s="2">
        <v>23</v>
      </c>
      <c r="D96" s="2" t="s">
        <v>159</v>
      </c>
      <c r="E96" s="2" t="s">
        <v>160</v>
      </c>
      <c r="F96" s="2">
        <v>2.6</v>
      </c>
      <c r="G96" s="2">
        <v>0.26200000000000001</v>
      </c>
      <c r="H96" s="2">
        <v>10</v>
      </c>
      <c r="I96" s="2">
        <v>2</v>
      </c>
      <c r="J96" s="5">
        <f t="shared" si="3"/>
        <v>2.0153846153846153</v>
      </c>
      <c r="K96" s="6">
        <f t="shared" si="4"/>
        <v>0.20153846153846153</v>
      </c>
    </row>
    <row r="97" spans="1:11" x14ac:dyDescent="0.25">
      <c r="A97" s="2" t="s">
        <v>259</v>
      </c>
      <c r="B97" s="2">
        <v>12</v>
      </c>
      <c r="C97" s="2">
        <v>24</v>
      </c>
      <c r="D97" s="2" t="s">
        <v>161</v>
      </c>
      <c r="E97" s="2" t="s">
        <v>10</v>
      </c>
      <c r="G97" s="4">
        <v>8.0000000000000002E-3</v>
      </c>
      <c r="H97" s="2">
        <v>10</v>
      </c>
      <c r="I97" s="2">
        <v>2</v>
      </c>
      <c r="J97" s="5" t="e">
        <f t="shared" si="3"/>
        <v>#DIV/0!</v>
      </c>
      <c r="K97" s="5" t="e">
        <f t="shared" si="4"/>
        <v>#DIV/0!</v>
      </c>
    </row>
    <row r="98" spans="1:11" x14ac:dyDescent="0.25">
      <c r="A98" s="2" t="s">
        <v>259</v>
      </c>
      <c r="B98" s="2">
        <v>13</v>
      </c>
      <c r="C98" s="2">
        <v>1</v>
      </c>
      <c r="D98" s="2" t="s">
        <v>162</v>
      </c>
      <c r="E98" s="2" t="s">
        <v>10</v>
      </c>
      <c r="G98" s="4">
        <v>8.6999999999999994E-2</v>
      </c>
      <c r="H98" s="2">
        <v>10</v>
      </c>
      <c r="I98" s="2">
        <v>2</v>
      </c>
      <c r="J98" s="5" t="e">
        <f t="shared" ref="J98:J129" si="5">(G98*10*2)/F98</f>
        <v>#DIV/0!</v>
      </c>
      <c r="K98" s="5" t="e">
        <f t="shared" si="4"/>
        <v>#DIV/0!</v>
      </c>
    </row>
    <row r="99" spans="1:11" x14ac:dyDescent="0.25">
      <c r="A99" s="2" t="s">
        <v>259</v>
      </c>
      <c r="B99" s="2">
        <v>13</v>
      </c>
      <c r="C99" s="2">
        <v>2</v>
      </c>
      <c r="D99" s="2" t="s">
        <v>163</v>
      </c>
      <c r="E99" s="2" t="s">
        <v>164</v>
      </c>
      <c r="F99" s="2">
        <v>2.5</v>
      </c>
      <c r="G99" s="2">
        <v>0.26700000000000002</v>
      </c>
      <c r="H99" s="2">
        <v>10</v>
      </c>
      <c r="I99" s="2">
        <v>2</v>
      </c>
      <c r="J99" s="5">
        <f t="shared" si="5"/>
        <v>2.1360000000000001</v>
      </c>
      <c r="K99" s="6">
        <f t="shared" si="4"/>
        <v>0.21360000000000001</v>
      </c>
    </row>
    <row r="100" spans="1:11" x14ac:dyDescent="0.25">
      <c r="A100" s="2" t="s">
        <v>259</v>
      </c>
      <c r="B100" s="2">
        <v>13</v>
      </c>
      <c r="C100" s="2">
        <v>3</v>
      </c>
      <c r="D100" s="2" t="s">
        <v>165</v>
      </c>
      <c r="E100" s="2" t="s">
        <v>166</v>
      </c>
      <c r="F100" s="2">
        <v>2.0550000000000002</v>
      </c>
      <c r="G100" s="2">
        <v>0.18</v>
      </c>
      <c r="H100" s="2">
        <v>10</v>
      </c>
      <c r="I100" s="2">
        <v>2</v>
      </c>
      <c r="J100" s="5">
        <f t="shared" si="5"/>
        <v>1.7518248175182478</v>
      </c>
      <c r="K100" s="5">
        <f t="shared" si="4"/>
        <v>0.17518248175182477</v>
      </c>
    </row>
    <row r="101" spans="1:11" x14ac:dyDescent="0.25">
      <c r="A101" s="2" t="s">
        <v>259</v>
      </c>
      <c r="B101" s="2">
        <v>13</v>
      </c>
      <c r="C101" s="2">
        <v>4</v>
      </c>
      <c r="D101" s="2" t="s">
        <v>167</v>
      </c>
      <c r="E101" s="2" t="s">
        <v>168</v>
      </c>
      <c r="F101" s="2">
        <v>0.76</v>
      </c>
      <c r="G101" s="2">
        <v>0.14000000000000001</v>
      </c>
      <c r="H101" s="2">
        <v>10</v>
      </c>
      <c r="I101" s="2">
        <v>2</v>
      </c>
      <c r="J101" s="5">
        <f t="shared" si="5"/>
        <v>3.6842105263157898</v>
      </c>
      <c r="K101" s="5">
        <f t="shared" si="4"/>
        <v>0.36842105263157898</v>
      </c>
    </row>
    <row r="102" spans="1:11" x14ac:dyDescent="0.25">
      <c r="A102" s="2" t="s">
        <v>259</v>
      </c>
      <c r="B102" s="2">
        <v>13</v>
      </c>
      <c r="C102" s="2">
        <v>5</v>
      </c>
      <c r="D102" s="2" t="s">
        <v>169</v>
      </c>
      <c r="E102" s="2" t="s">
        <v>170</v>
      </c>
      <c r="F102" s="2">
        <v>0.98899999999999999</v>
      </c>
      <c r="G102" s="2">
        <v>8.3000000000000004E-2</v>
      </c>
      <c r="H102" s="2">
        <v>10</v>
      </c>
      <c r="I102" s="2">
        <v>2</v>
      </c>
      <c r="J102" s="5">
        <f t="shared" si="5"/>
        <v>1.6784630940343783</v>
      </c>
      <c r="K102" s="5">
        <f t="shared" si="4"/>
        <v>0.16784630940343784</v>
      </c>
    </row>
    <row r="103" spans="1:11" x14ac:dyDescent="0.25">
      <c r="A103" s="2" t="s">
        <v>259</v>
      </c>
      <c r="B103" s="2">
        <v>13</v>
      </c>
      <c r="C103" s="2">
        <v>6</v>
      </c>
      <c r="D103" s="2" t="s">
        <v>171</v>
      </c>
      <c r="E103" s="2" t="s">
        <v>172</v>
      </c>
      <c r="F103" s="2">
        <v>1.0580000000000001</v>
      </c>
      <c r="G103" s="2">
        <v>9.7000000000000003E-2</v>
      </c>
      <c r="H103" s="2">
        <v>10</v>
      </c>
      <c r="I103" s="2">
        <v>2</v>
      </c>
      <c r="J103" s="5">
        <f t="shared" si="5"/>
        <v>1.833648393194707</v>
      </c>
      <c r="K103" s="5">
        <f t="shared" si="4"/>
        <v>0.1833648393194707</v>
      </c>
    </row>
    <row r="104" spans="1:11" x14ac:dyDescent="0.25">
      <c r="A104" s="2" t="s">
        <v>259</v>
      </c>
      <c r="B104" s="2">
        <v>13</v>
      </c>
      <c r="C104" s="2">
        <v>7</v>
      </c>
      <c r="D104" s="2" t="s">
        <v>173</v>
      </c>
      <c r="E104" s="2" t="s">
        <v>174</v>
      </c>
      <c r="F104" s="2">
        <v>2.08</v>
      </c>
      <c r="G104" s="2">
        <v>9.9000000000000005E-2</v>
      </c>
      <c r="H104" s="2">
        <v>10</v>
      </c>
      <c r="I104" s="2">
        <v>2</v>
      </c>
      <c r="J104" s="5">
        <f t="shared" si="5"/>
        <v>0.95192307692307687</v>
      </c>
      <c r="K104" s="5">
        <f t="shared" si="4"/>
        <v>9.5192307692307687E-2</v>
      </c>
    </row>
    <row r="105" spans="1:11" x14ac:dyDescent="0.25">
      <c r="A105" s="2" t="s">
        <v>259</v>
      </c>
      <c r="B105" s="2">
        <v>13</v>
      </c>
      <c r="C105" s="2">
        <v>8</v>
      </c>
      <c r="D105" s="2" t="s">
        <v>175</v>
      </c>
      <c r="E105" s="2" t="s">
        <v>176</v>
      </c>
      <c r="F105" s="2">
        <v>1.4510000000000001</v>
      </c>
      <c r="G105" s="2">
        <v>2.5999999999999999E-2</v>
      </c>
      <c r="H105" s="2">
        <v>10</v>
      </c>
      <c r="I105" s="2">
        <v>2</v>
      </c>
      <c r="J105" s="5">
        <f t="shared" si="5"/>
        <v>0.35837353549276363</v>
      </c>
      <c r="K105" s="5">
        <f t="shared" si="4"/>
        <v>3.5837353549276363E-2</v>
      </c>
    </row>
    <row r="106" spans="1:11" x14ac:dyDescent="0.25">
      <c r="A106" s="2" t="s">
        <v>259</v>
      </c>
      <c r="B106" s="2">
        <v>13</v>
      </c>
      <c r="C106" s="2">
        <v>9</v>
      </c>
      <c r="D106" s="2" t="s">
        <v>177</v>
      </c>
      <c r="E106" s="2" t="s">
        <v>178</v>
      </c>
      <c r="F106" s="2">
        <v>2.0760000000000001</v>
      </c>
      <c r="G106" s="2">
        <v>8.5000000000000006E-2</v>
      </c>
      <c r="H106" s="2">
        <v>10</v>
      </c>
      <c r="I106" s="2">
        <v>2</v>
      </c>
      <c r="J106" s="5">
        <f t="shared" si="5"/>
        <v>0.81888246628131023</v>
      </c>
      <c r="K106" s="5">
        <f t="shared" si="4"/>
        <v>8.1888246628131017E-2</v>
      </c>
    </row>
    <row r="107" spans="1:11" x14ac:dyDescent="0.25">
      <c r="A107" s="2" t="s">
        <v>259</v>
      </c>
      <c r="B107" s="2">
        <v>13</v>
      </c>
      <c r="C107" s="2">
        <v>10</v>
      </c>
      <c r="D107" s="2" t="s">
        <v>179</v>
      </c>
      <c r="E107" s="2" t="s">
        <v>180</v>
      </c>
      <c r="F107" s="2">
        <v>2.11</v>
      </c>
      <c r="G107" s="2">
        <v>8.5000000000000006E-2</v>
      </c>
      <c r="H107" s="2">
        <v>10</v>
      </c>
      <c r="I107" s="2">
        <v>2</v>
      </c>
      <c r="J107" s="5">
        <f t="shared" si="5"/>
        <v>0.8056872037914693</v>
      </c>
      <c r="K107" s="5">
        <f t="shared" si="4"/>
        <v>8.0568720379146933E-2</v>
      </c>
    </row>
    <row r="108" spans="1:11" x14ac:dyDescent="0.25">
      <c r="A108" s="2" t="s">
        <v>259</v>
      </c>
      <c r="B108" s="2">
        <v>13</v>
      </c>
      <c r="C108" s="2">
        <v>11</v>
      </c>
      <c r="D108" s="2" t="s">
        <v>181</v>
      </c>
      <c r="E108" s="2" t="s">
        <v>182</v>
      </c>
      <c r="F108" s="2">
        <v>3.6</v>
      </c>
      <c r="G108" s="2">
        <v>0.34300000000000003</v>
      </c>
      <c r="H108" s="2">
        <v>10</v>
      </c>
      <c r="I108" s="2">
        <v>2</v>
      </c>
      <c r="J108" s="5">
        <f t="shared" si="5"/>
        <v>1.9055555555555557</v>
      </c>
      <c r="K108" s="6">
        <f t="shared" si="4"/>
        <v>0.19055555555555556</v>
      </c>
    </row>
    <row r="109" spans="1:11" x14ac:dyDescent="0.25">
      <c r="A109" s="2" t="s">
        <v>259</v>
      </c>
      <c r="B109" s="2">
        <v>13</v>
      </c>
      <c r="C109" s="2">
        <v>12</v>
      </c>
      <c r="D109" s="2" t="s">
        <v>183</v>
      </c>
      <c r="E109" s="2" t="s">
        <v>10</v>
      </c>
      <c r="G109" s="4">
        <v>-3.0000000000000001E-3</v>
      </c>
      <c r="H109" s="2">
        <v>10.5</v>
      </c>
      <c r="I109" s="2">
        <v>2</v>
      </c>
      <c r="J109" s="5" t="e">
        <f t="shared" si="5"/>
        <v>#DIV/0!</v>
      </c>
      <c r="K109" s="5" t="e">
        <f t="shared" si="4"/>
        <v>#DIV/0!</v>
      </c>
    </row>
    <row r="110" spans="1:11" x14ac:dyDescent="0.25">
      <c r="A110" s="2" t="s">
        <v>259</v>
      </c>
      <c r="B110" s="2">
        <v>14</v>
      </c>
      <c r="C110" s="2">
        <v>13</v>
      </c>
      <c r="D110" s="2" t="s">
        <v>184</v>
      </c>
      <c r="E110" s="2" t="s">
        <v>10</v>
      </c>
      <c r="G110" s="4">
        <v>3.4000000000000002E-2</v>
      </c>
      <c r="H110" s="2">
        <v>10</v>
      </c>
      <c r="I110" s="2">
        <v>2</v>
      </c>
      <c r="J110" s="5" t="e">
        <f t="shared" si="5"/>
        <v>#DIV/0!</v>
      </c>
      <c r="K110" s="5" t="e">
        <f t="shared" si="4"/>
        <v>#DIV/0!</v>
      </c>
    </row>
    <row r="111" spans="1:11" x14ac:dyDescent="0.25">
      <c r="A111" s="2" t="s">
        <v>259</v>
      </c>
      <c r="B111" s="2">
        <v>14</v>
      </c>
      <c r="C111" s="2">
        <v>14</v>
      </c>
      <c r="D111" s="2" t="s">
        <v>185</v>
      </c>
      <c r="E111" s="2" t="s">
        <v>186</v>
      </c>
      <c r="F111" s="2">
        <v>2.2999999999999998</v>
      </c>
      <c r="G111" s="2">
        <v>0.20799999999999999</v>
      </c>
      <c r="H111" s="2">
        <v>10</v>
      </c>
      <c r="I111" s="2">
        <v>2</v>
      </c>
      <c r="J111" s="5">
        <f t="shared" si="5"/>
        <v>1.8086956521739133</v>
      </c>
      <c r="K111" s="6">
        <f t="shared" si="4"/>
        <v>0.18086956521739134</v>
      </c>
    </row>
    <row r="112" spans="1:11" x14ac:dyDescent="0.25">
      <c r="A112" s="2" t="s">
        <v>259</v>
      </c>
      <c r="B112" s="2">
        <v>14</v>
      </c>
      <c r="C112" s="2">
        <v>15</v>
      </c>
      <c r="D112" s="2" t="s">
        <v>187</v>
      </c>
      <c r="E112" s="2" t="s">
        <v>188</v>
      </c>
      <c r="F112" s="2">
        <v>2.048</v>
      </c>
      <c r="G112" s="2">
        <v>0.124</v>
      </c>
      <c r="H112" s="2">
        <v>10</v>
      </c>
      <c r="I112" s="2">
        <v>2</v>
      </c>
      <c r="J112" s="5">
        <f t="shared" si="5"/>
        <v>1.2109375</v>
      </c>
      <c r="K112" s="5">
        <f t="shared" si="4"/>
        <v>0.12109375</v>
      </c>
    </row>
    <row r="113" spans="1:11" x14ac:dyDescent="0.25">
      <c r="A113" s="2" t="s">
        <v>259</v>
      </c>
      <c r="B113" s="2">
        <v>14</v>
      </c>
      <c r="C113" s="2">
        <v>16</v>
      </c>
      <c r="D113" s="2" t="s">
        <v>189</v>
      </c>
      <c r="E113" s="2" t="s">
        <v>190</v>
      </c>
      <c r="F113" s="2">
        <v>0.80200000000000005</v>
      </c>
      <c r="G113" s="2">
        <v>5.1999999999999998E-2</v>
      </c>
      <c r="H113" s="2">
        <v>10</v>
      </c>
      <c r="I113" s="2">
        <v>2</v>
      </c>
      <c r="J113" s="5">
        <f t="shared" si="5"/>
        <v>1.2967581047381547</v>
      </c>
      <c r="K113" s="5">
        <f t="shared" si="4"/>
        <v>0.12967581047381546</v>
      </c>
    </row>
    <row r="114" spans="1:11" x14ac:dyDescent="0.25">
      <c r="A114" s="2" t="s">
        <v>259</v>
      </c>
      <c r="B114" s="2">
        <v>14</v>
      </c>
      <c r="C114" s="2">
        <v>17</v>
      </c>
      <c r="D114" s="2" t="s">
        <v>191</v>
      </c>
      <c r="E114" s="2" t="s">
        <v>192</v>
      </c>
      <c r="F114" s="2">
        <v>2.0659999999999998</v>
      </c>
      <c r="G114" s="2">
        <v>6.4000000000000001E-2</v>
      </c>
      <c r="H114" s="2">
        <v>10</v>
      </c>
      <c r="I114" s="2">
        <v>2</v>
      </c>
      <c r="J114" s="5">
        <f t="shared" si="5"/>
        <v>0.6195546950629236</v>
      </c>
      <c r="K114" s="5">
        <f t="shared" si="4"/>
        <v>6.1955469506292361E-2</v>
      </c>
    </row>
    <row r="115" spans="1:11" x14ac:dyDescent="0.25">
      <c r="A115" s="2" t="s">
        <v>259</v>
      </c>
      <c r="B115" s="2">
        <v>14</v>
      </c>
      <c r="C115" s="2">
        <v>18</v>
      </c>
      <c r="D115" s="2" t="s">
        <v>193</v>
      </c>
      <c r="E115" s="2" t="s">
        <v>194</v>
      </c>
      <c r="F115" s="2">
        <v>2.431</v>
      </c>
      <c r="G115" s="2">
        <v>7.1999999999999995E-2</v>
      </c>
      <c r="H115" s="2">
        <v>10</v>
      </c>
      <c r="I115" s="2">
        <v>2</v>
      </c>
      <c r="J115" s="5">
        <f t="shared" si="5"/>
        <v>0.59234882764294527</v>
      </c>
      <c r="K115" s="5">
        <f t="shared" si="4"/>
        <v>5.9234882764294526E-2</v>
      </c>
    </row>
    <row r="116" spans="1:11" x14ac:dyDescent="0.25">
      <c r="A116" s="2" t="s">
        <v>259</v>
      </c>
      <c r="B116" s="2">
        <v>14</v>
      </c>
      <c r="C116" s="2">
        <v>19</v>
      </c>
      <c r="D116" s="2" t="s">
        <v>195</v>
      </c>
      <c r="E116" s="2" t="s">
        <v>196</v>
      </c>
      <c r="F116" s="2">
        <v>2.08</v>
      </c>
      <c r="G116" s="2">
        <v>5.7000000000000002E-2</v>
      </c>
      <c r="H116" s="2">
        <v>10</v>
      </c>
      <c r="I116" s="2">
        <v>2</v>
      </c>
      <c r="J116" s="5">
        <f t="shared" si="5"/>
        <v>0.54807692307692313</v>
      </c>
      <c r="K116" s="5">
        <f t="shared" si="4"/>
        <v>5.4807692307692314E-2</v>
      </c>
    </row>
    <row r="117" spans="1:11" x14ac:dyDescent="0.25">
      <c r="A117" s="2" t="s">
        <v>259</v>
      </c>
      <c r="B117" s="2">
        <v>14</v>
      </c>
      <c r="C117" s="2">
        <v>20</v>
      </c>
      <c r="D117" s="2" t="s">
        <v>197</v>
      </c>
      <c r="E117" s="2" t="s">
        <v>198</v>
      </c>
      <c r="F117" s="2">
        <v>2.1869999999999998</v>
      </c>
      <c r="G117" s="2">
        <v>8.4000000000000005E-2</v>
      </c>
      <c r="H117" s="2">
        <v>10</v>
      </c>
      <c r="I117" s="2">
        <v>2</v>
      </c>
      <c r="J117" s="5">
        <f t="shared" si="5"/>
        <v>0.7681755829903979</v>
      </c>
      <c r="K117" s="5">
        <f t="shared" si="4"/>
        <v>7.6817558299039787E-2</v>
      </c>
    </row>
    <row r="118" spans="1:11" x14ac:dyDescent="0.25">
      <c r="A118" s="2" t="s">
        <v>259</v>
      </c>
      <c r="B118" s="2">
        <v>14</v>
      </c>
      <c r="C118" s="2">
        <v>21</v>
      </c>
      <c r="D118" s="2" t="s">
        <v>199</v>
      </c>
      <c r="E118" s="2" t="s">
        <v>200</v>
      </c>
      <c r="F118" s="2">
        <v>2.282</v>
      </c>
      <c r="G118" s="2">
        <v>7.3999999999999996E-2</v>
      </c>
      <c r="H118" s="2">
        <v>10</v>
      </c>
      <c r="I118" s="2">
        <v>2</v>
      </c>
      <c r="J118" s="5">
        <f t="shared" si="5"/>
        <v>0.64855390008764235</v>
      </c>
      <c r="K118" s="5">
        <f t="shared" si="4"/>
        <v>6.4855390008764238E-2</v>
      </c>
    </row>
    <row r="119" spans="1:11" x14ac:dyDescent="0.25">
      <c r="A119" s="2" t="s">
        <v>259</v>
      </c>
      <c r="B119" s="2">
        <v>14</v>
      </c>
      <c r="C119" s="2">
        <v>22</v>
      </c>
      <c r="D119" s="2" t="s">
        <v>201</v>
      </c>
      <c r="E119" s="2" t="s">
        <v>202</v>
      </c>
      <c r="F119" s="2">
        <v>2.0569999999999999</v>
      </c>
      <c r="G119" s="2">
        <v>0.1</v>
      </c>
      <c r="H119" s="2">
        <v>10</v>
      </c>
      <c r="I119" s="2">
        <v>2</v>
      </c>
      <c r="J119" s="5">
        <f t="shared" si="5"/>
        <v>0.9722897423432183</v>
      </c>
      <c r="K119" s="5">
        <f t="shared" si="4"/>
        <v>9.7228974234321836E-2</v>
      </c>
    </row>
    <row r="120" spans="1:11" x14ac:dyDescent="0.25">
      <c r="A120" s="2" t="s">
        <v>259</v>
      </c>
      <c r="B120" s="2">
        <v>14</v>
      </c>
      <c r="C120" s="2">
        <v>23</v>
      </c>
      <c r="D120" s="2" t="s">
        <v>203</v>
      </c>
      <c r="E120" s="2" t="s">
        <v>204</v>
      </c>
      <c r="F120" s="2">
        <v>3.2</v>
      </c>
      <c r="G120" s="2">
        <v>0.40799999999999997</v>
      </c>
      <c r="H120" s="2">
        <v>10</v>
      </c>
      <c r="I120" s="2">
        <v>2</v>
      </c>
      <c r="J120" s="5">
        <f t="shared" si="5"/>
        <v>2.5499999999999998</v>
      </c>
      <c r="K120" s="6">
        <f t="shared" si="4"/>
        <v>0.255</v>
      </c>
    </row>
    <row r="121" spans="1:11" x14ac:dyDescent="0.25">
      <c r="A121" s="2" t="s">
        <v>259</v>
      </c>
      <c r="B121" s="2">
        <v>14</v>
      </c>
      <c r="C121" s="2">
        <v>24</v>
      </c>
      <c r="D121" s="2" t="s">
        <v>205</v>
      </c>
      <c r="E121" s="2" t="s">
        <v>10</v>
      </c>
      <c r="G121" s="4">
        <v>1.4E-2</v>
      </c>
      <c r="H121" s="2">
        <v>10</v>
      </c>
      <c r="I121" s="2">
        <v>2</v>
      </c>
      <c r="J121" s="5" t="e">
        <f t="shared" si="5"/>
        <v>#DIV/0!</v>
      </c>
      <c r="K121" s="5" t="e">
        <f t="shared" si="4"/>
        <v>#DIV/0!</v>
      </c>
    </row>
    <row r="122" spans="1:11" x14ac:dyDescent="0.25">
      <c r="A122" s="2" t="s">
        <v>259</v>
      </c>
      <c r="B122" s="2">
        <v>15</v>
      </c>
      <c r="C122" s="2">
        <v>1</v>
      </c>
      <c r="D122" s="2" t="s">
        <v>206</v>
      </c>
      <c r="E122" s="2" t="s">
        <v>10</v>
      </c>
      <c r="G122" s="4">
        <v>0.01</v>
      </c>
      <c r="H122" s="2">
        <v>10</v>
      </c>
      <c r="I122" s="2">
        <v>2</v>
      </c>
      <c r="J122" s="5" t="e">
        <f t="shared" si="5"/>
        <v>#DIV/0!</v>
      </c>
      <c r="K122" s="5" t="e">
        <f t="shared" si="4"/>
        <v>#DIV/0!</v>
      </c>
    </row>
    <row r="123" spans="1:11" x14ac:dyDescent="0.25">
      <c r="A123" s="2" t="s">
        <v>259</v>
      </c>
      <c r="B123" s="2">
        <v>15</v>
      </c>
      <c r="C123" s="2">
        <v>2</v>
      </c>
      <c r="D123" s="2" t="s">
        <v>207</v>
      </c>
      <c r="E123" s="2" t="s">
        <v>208</v>
      </c>
      <c r="F123" s="2">
        <v>2.6</v>
      </c>
      <c r="G123" s="2">
        <v>0.20100000000000001</v>
      </c>
      <c r="H123" s="2">
        <v>10</v>
      </c>
      <c r="I123" s="2">
        <v>2</v>
      </c>
      <c r="J123" s="5">
        <f t="shared" si="5"/>
        <v>1.5461538461538462</v>
      </c>
      <c r="K123" s="6">
        <f t="shared" si="4"/>
        <v>0.15461538461538463</v>
      </c>
    </row>
    <row r="124" spans="1:11" x14ac:dyDescent="0.25">
      <c r="A124" s="2" t="s">
        <v>259</v>
      </c>
      <c r="B124" s="2">
        <v>15</v>
      </c>
      <c r="C124" s="2">
        <v>3</v>
      </c>
      <c r="D124" s="2" t="s">
        <v>209</v>
      </c>
      <c r="E124" s="2" t="s">
        <v>210</v>
      </c>
      <c r="F124" s="2">
        <v>0.63800000000000001</v>
      </c>
      <c r="G124" s="2">
        <v>0.03</v>
      </c>
      <c r="H124" s="2">
        <v>10</v>
      </c>
      <c r="I124" s="2">
        <v>2</v>
      </c>
      <c r="J124" s="5">
        <f t="shared" si="5"/>
        <v>0.94043887147335414</v>
      </c>
      <c r="K124" s="5">
        <f t="shared" si="4"/>
        <v>9.4043887147335414E-2</v>
      </c>
    </row>
    <row r="125" spans="1:11" x14ac:dyDescent="0.25">
      <c r="A125" s="2" t="s">
        <v>259</v>
      </c>
      <c r="B125" s="2">
        <v>15</v>
      </c>
      <c r="C125" s="2">
        <v>4</v>
      </c>
      <c r="D125" s="2" t="s">
        <v>211</v>
      </c>
      <c r="E125" s="2" t="s">
        <v>212</v>
      </c>
      <c r="F125" s="2">
        <v>2.0369999999999999</v>
      </c>
      <c r="G125" s="2">
        <v>4.8000000000000001E-2</v>
      </c>
      <c r="H125" s="2">
        <v>10</v>
      </c>
      <c r="I125" s="2">
        <v>2</v>
      </c>
      <c r="J125" s="5">
        <f t="shared" si="5"/>
        <v>0.47128129602356406</v>
      </c>
      <c r="K125" s="5">
        <f t="shared" si="4"/>
        <v>4.7128129602356406E-2</v>
      </c>
    </row>
    <row r="126" spans="1:11" x14ac:dyDescent="0.25">
      <c r="A126" s="2" t="s">
        <v>259</v>
      </c>
      <c r="B126" s="2">
        <v>15</v>
      </c>
      <c r="C126" s="2">
        <v>5</v>
      </c>
      <c r="D126" s="2" t="s">
        <v>213</v>
      </c>
      <c r="E126" s="2" t="s">
        <v>214</v>
      </c>
      <c r="F126" s="2">
        <v>0.49399999999999999</v>
      </c>
      <c r="G126" s="2">
        <v>4.1000000000000002E-2</v>
      </c>
      <c r="H126" s="2">
        <v>10</v>
      </c>
      <c r="I126" s="2">
        <v>2</v>
      </c>
      <c r="J126" s="5">
        <f t="shared" si="5"/>
        <v>1.6599190283400811</v>
      </c>
      <c r="K126" s="5">
        <f t="shared" si="4"/>
        <v>0.16599190283400811</v>
      </c>
    </row>
    <row r="127" spans="1:11" x14ac:dyDescent="0.25">
      <c r="A127" s="2" t="s">
        <v>259</v>
      </c>
      <c r="B127" s="2">
        <v>15</v>
      </c>
      <c r="C127" s="2">
        <v>6</v>
      </c>
      <c r="D127" s="2" t="s">
        <v>215</v>
      </c>
      <c r="E127" s="2" t="s">
        <v>216</v>
      </c>
      <c r="F127" s="2">
        <v>0.55400000000000005</v>
      </c>
      <c r="G127" s="2">
        <v>8.0000000000000002E-3</v>
      </c>
      <c r="H127" s="2">
        <v>10</v>
      </c>
      <c r="I127" s="2">
        <v>2</v>
      </c>
      <c r="J127" s="5">
        <f t="shared" si="5"/>
        <v>0.28880866425992779</v>
      </c>
      <c r="K127" s="5">
        <f t="shared" si="4"/>
        <v>2.8880866425992781E-2</v>
      </c>
    </row>
    <row r="128" spans="1:11" x14ac:dyDescent="0.25">
      <c r="A128" s="2" t="s">
        <v>259</v>
      </c>
      <c r="B128" s="2">
        <v>15</v>
      </c>
      <c r="C128" s="2">
        <v>7</v>
      </c>
      <c r="D128" s="2" t="s">
        <v>217</v>
      </c>
      <c r="E128" s="2" t="s">
        <v>218</v>
      </c>
      <c r="F128" s="2">
        <v>2.12</v>
      </c>
      <c r="G128" s="2">
        <v>0.14799999999999999</v>
      </c>
      <c r="H128" s="2">
        <v>10</v>
      </c>
      <c r="I128" s="2">
        <v>2</v>
      </c>
      <c r="J128" s="5">
        <f t="shared" si="5"/>
        <v>1.3962264150943395</v>
      </c>
      <c r="K128" s="5">
        <f t="shared" si="4"/>
        <v>0.13962264150943396</v>
      </c>
    </row>
    <row r="129" spans="1:11" x14ac:dyDescent="0.25">
      <c r="A129" s="2" t="s">
        <v>259</v>
      </c>
      <c r="B129" s="2">
        <v>15</v>
      </c>
      <c r="C129" s="2">
        <v>8</v>
      </c>
      <c r="D129" s="2" t="s">
        <v>219</v>
      </c>
      <c r="E129" s="2" t="s">
        <v>220</v>
      </c>
      <c r="F129" s="2">
        <v>0.98199999999999998</v>
      </c>
      <c r="G129" s="2">
        <v>5.2999999999999999E-2</v>
      </c>
      <c r="H129" s="2">
        <v>10</v>
      </c>
      <c r="I129" s="2">
        <v>2</v>
      </c>
      <c r="J129" s="5">
        <f t="shared" si="5"/>
        <v>1.0794297352342159</v>
      </c>
      <c r="K129" s="5">
        <f t="shared" si="4"/>
        <v>0.1079429735234216</v>
      </c>
    </row>
    <row r="130" spans="1:11" x14ac:dyDescent="0.25">
      <c r="A130" s="2" t="s">
        <v>259</v>
      </c>
      <c r="B130" s="2">
        <v>15</v>
      </c>
      <c r="C130" s="2">
        <v>9</v>
      </c>
      <c r="D130" s="2" t="s">
        <v>221</v>
      </c>
      <c r="E130" s="2" t="s">
        <v>222</v>
      </c>
      <c r="F130" s="2">
        <v>0.76100000000000001</v>
      </c>
      <c r="G130" s="2">
        <v>4.2999999999999997E-2</v>
      </c>
      <c r="H130" s="2">
        <v>10</v>
      </c>
      <c r="I130" s="2">
        <v>2</v>
      </c>
      <c r="J130" s="5">
        <f t="shared" ref="J130:J145" si="6">(G130*10*2)/F130</f>
        <v>1.1300919842312744</v>
      </c>
      <c r="K130" s="5">
        <f t="shared" si="4"/>
        <v>0.11300919842312744</v>
      </c>
    </row>
    <row r="131" spans="1:11" x14ac:dyDescent="0.25">
      <c r="A131" s="2" t="s">
        <v>259</v>
      </c>
      <c r="B131" s="2">
        <v>15</v>
      </c>
      <c r="C131" s="2">
        <v>10</v>
      </c>
      <c r="D131" s="2" t="s">
        <v>223</v>
      </c>
      <c r="E131" s="2" t="s">
        <v>224</v>
      </c>
      <c r="F131" s="2">
        <v>1.6639999999999999</v>
      </c>
      <c r="G131" s="2">
        <v>7.0000000000000007E-2</v>
      </c>
      <c r="H131" s="2">
        <v>10</v>
      </c>
      <c r="I131" s="2">
        <v>2</v>
      </c>
      <c r="J131" s="5">
        <f t="shared" si="6"/>
        <v>0.84134615384615397</v>
      </c>
      <c r="K131" s="5">
        <f t="shared" ref="K131:K145" si="7">J131/10</f>
        <v>8.4134615384615391E-2</v>
      </c>
    </row>
    <row r="132" spans="1:11" x14ac:dyDescent="0.25">
      <c r="A132" s="2" t="s">
        <v>259</v>
      </c>
      <c r="B132" s="2">
        <v>15</v>
      </c>
      <c r="C132" s="2">
        <v>11</v>
      </c>
      <c r="D132" s="2" t="s">
        <v>225</v>
      </c>
      <c r="E132" s="2" t="s">
        <v>226</v>
      </c>
      <c r="F132" s="2">
        <v>0.873</v>
      </c>
      <c r="G132" s="2">
        <v>8.2000000000000003E-2</v>
      </c>
      <c r="H132" s="2">
        <v>10</v>
      </c>
      <c r="I132" s="2">
        <v>2</v>
      </c>
      <c r="J132" s="5">
        <f t="shared" si="6"/>
        <v>1.8785796105383736</v>
      </c>
      <c r="K132" s="5">
        <f t="shared" si="7"/>
        <v>0.18785796105383737</v>
      </c>
    </row>
    <row r="133" spans="1:11" x14ac:dyDescent="0.25">
      <c r="A133" s="2" t="s">
        <v>259</v>
      </c>
      <c r="B133" s="2">
        <v>15</v>
      </c>
      <c r="C133" s="2">
        <v>12</v>
      </c>
      <c r="D133" s="2" t="s">
        <v>227</v>
      </c>
      <c r="E133" s="2" t="s">
        <v>228</v>
      </c>
      <c r="F133" s="2">
        <v>1.9</v>
      </c>
      <c r="G133" s="2">
        <v>0.34300000000000003</v>
      </c>
      <c r="H133" s="2">
        <v>10</v>
      </c>
      <c r="I133" s="2">
        <v>2</v>
      </c>
      <c r="J133" s="5">
        <f t="shared" si="6"/>
        <v>3.6105263157894738</v>
      </c>
      <c r="K133" s="6">
        <f t="shared" si="7"/>
        <v>0.3610526315789474</v>
      </c>
    </row>
    <row r="134" spans="1:11" x14ac:dyDescent="0.25">
      <c r="A134" s="2" t="s">
        <v>259</v>
      </c>
      <c r="B134" s="2">
        <v>16</v>
      </c>
      <c r="C134" s="2">
        <v>13</v>
      </c>
      <c r="D134" s="2" t="s">
        <v>229</v>
      </c>
      <c r="E134" s="2" t="s">
        <v>10</v>
      </c>
      <c r="G134" s="4">
        <v>6.0000000000000001E-3</v>
      </c>
      <c r="H134" s="2">
        <v>10.5</v>
      </c>
      <c r="I134" s="2">
        <v>2</v>
      </c>
      <c r="J134" s="5" t="e">
        <f t="shared" si="6"/>
        <v>#DIV/0!</v>
      </c>
      <c r="K134" s="5" t="e">
        <f t="shared" si="7"/>
        <v>#DIV/0!</v>
      </c>
    </row>
    <row r="135" spans="1:11" x14ac:dyDescent="0.25">
      <c r="A135" s="2" t="s">
        <v>259</v>
      </c>
      <c r="B135" s="2">
        <v>16</v>
      </c>
      <c r="C135" s="2">
        <v>14</v>
      </c>
      <c r="D135" s="2" t="s">
        <v>230</v>
      </c>
      <c r="E135" s="2" t="s">
        <v>231</v>
      </c>
      <c r="F135" s="2">
        <v>2.6</v>
      </c>
      <c r="G135" s="2">
        <v>0.26</v>
      </c>
      <c r="H135" s="2">
        <v>10</v>
      </c>
      <c r="I135" s="2">
        <v>2</v>
      </c>
      <c r="J135" s="5">
        <f t="shared" si="6"/>
        <v>2</v>
      </c>
      <c r="K135" s="6">
        <f t="shared" si="7"/>
        <v>0.2</v>
      </c>
    </row>
    <row r="136" spans="1:11" x14ac:dyDescent="0.25">
      <c r="A136" s="2" t="s">
        <v>259</v>
      </c>
      <c r="B136" s="2">
        <v>16</v>
      </c>
      <c r="C136" s="2">
        <v>15</v>
      </c>
      <c r="D136" s="2" t="s">
        <v>232</v>
      </c>
      <c r="E136" s="2" t="s">
        <v>233</v>
      </c>
      <c r="F136" s="2">
        <v>1.381</v>
      </c>
      <c r="G136" s="2">
        <v>6.0999999999999999E-2</v>
      </c>
      <c r="H136" s="2">
        <v>10</v>
      </c>
      <c r="I136" s="2">
        <v>2</v>
      </c>
      <c r="J136" s="5">
        <f t="shared" si="6"/>
        <v>0.88341781317885593</v>
      </c>
      <c r="K136" s="5">
        <f t="shared" si="7"/>
        <v>8.8341781317885587E-2</v>
      </c>
    </row>
    <row r="137" spans="1:11" x14ac:dyDescent="0.25">
      <c r="A137" s="2" t="s">
        <v>259</v>
      </c>
      <c r="B137" s="2">
        <v>16</v>
      </c>
      <c r="C137" s="2">
        <v>16</v>
      </c>
      <c r="D137" s="2" t="s">
        <v>234</v>
      </c>
      <c r="E137" s="2" t="s">
        <v>235</v>
      </c>
      <c r="F137" s="2">
        <v>0.58699999999999997</v>
      </c>
      <c r="G137" s="2">
        <v>0.04</v>
      </c>
      <c r="H137" s="2">
        <v>10</v>
      </c>
      <c r="I137" s="2">
        <v>2</v>
      </c>
      <c r="J137" s="5">
        <f t="shared" si="6"/>
        <v>1.3628620102214652</v>
      </c>
      <c r="K137" s="5">
        <f t="shared" si="7"/>
        <v>0.13628620102214653</v>
      </c>
    </row>
    <row r="138" spans="1:11" x14ac:dyDescent="0.25">
      <c r="A138" s="2" t="s">
        <v>259</v>
      </c>
      <c r="B138" s="2">
        <v>16</v>
      </c>
      <c r="C138" s="2">
        <v>17</v>
      </c>
      <c r="D138" s="2" t="s">
        <v>236</v>
      </c>
      <c r="E138" s="2" t="s">
        <v>237</v>
      </c>
      <c r="F138" s="2">
        <v>0.89700000000000002</v>
      </c>
      <c r="G138" s="2">
        <v>0.104</v>
      </c>
      <c r="H138" s="2">
        <v>10</v>
      </c>
      <c r="I138" s="2">
        <v>2</v>
      </c>
      <c r="J138" s="5">
        <f t="shared" si="6"/>
        <v>2.318840579710145</v>
      </c>
      <c r="K138" s="5">
        <f t="shared" si="7"/>
        <v>0.2318840579710145</v>
      </c>
    </row>
    <row r="139" spans="1:11" x14ac:dyDescent="0.25">
      <c r="A139" s="2" t="s">
        <v>259</v>
      </c>
      <c r="B139" s="2">
        <v>16</v>
      </c>
      <c r="C139" s="2">
        <v>18</v>
      </c>
      <c r="D139" s="2" t="s">
        <v>238</v>
      </c>
      <c r="E139" s="2" t="s">
        <v>239</v>
      </c>
      <c r="F139" s="2">
        <v>1.347</v>
      </c>
      <c r="G139" s="2">
        <v>0.372</v>
      </c>
      <c r="H139" s="2">
        <v>10</v>
      </c>
      <c r="I139" s="2">
        <v>2</v>
      </c>
      <c r="J139" s="5">
        <f t="shared" si="6"/>
        <v>5.523385300668151</v>
      </c>
      <c r="K139" s="5">
        <f t="shared" si="7"/>
        <v>0.5523385300668151</v>
      </c>
    </row>
    <row r="140" spans="1:11" x14ac:dyDescent="0.25">
      <c r="A140" s="2" t="s">
        <v>259</v>
      </c>
      <c r="B140" s="2">
        <v>16</v>
      </c>
      <c r="C140" s="2">
        <v>19</v>
      </c>
      <c r="D140" s="2" t="s">
        <v>240</v>
      </c>
      <c r="E140" s="2" t="s">
        <v>241</v>
      </c>
      <c r="F140" s="2">
        <v>1.923</v>
      </c>
      <c r="G140" s="2">
        <v>4.3999999999999997E-2</v>
      </c>
      <c r="H140" s="2">
        <v>10</v>
      </c>
      <c r="I140" s="2">
        <v>2</v>
      </c>
      <c r="J140" s="5">
        <f t="shared" si="6"/>
        <v>0.45761830473218923</v>
      </c>
      <c r="K140" s="5">
        <f t="shared" si="7"/>
        <v>4.5761830473218926E-2</v>
      </c>
    </row>
    <row r="141" spans="1:11" x14ac:dyDescent="0.25">
      <c r="A141" s="2" t="s">
        <v>259</v>
      </c>
      <c r="B141" s="2">
        <v>16</v>
      </c>
      <c r="C141" s="2">
        <v>20</v>
      </c>
      <c r="D141" s="2" t="s">
        <v>242</v>
      </c>
      <c r="E141" s="2" t="s">
        <v>243</v>
      </c>
      <c r="F141" s="2">
        <v>1.008</v>
      </c>
      <c r="G141" s="2">
        <v>5.8999999999999997E-2</v>
      </c>
      <c r="H141" s="2">
        <v>10</v>
      </c>
      <c r="I141" s="2">
        <v>2</v>
      </c>
      <c r="J141" s="5">
        <f t="shared" si="6"/>
        <v>1.1706349206349205</v>
      </c>
      <c r="K141" s="5">
        <f t="shared" si="7"/>
        <v>0.11706349206349205</v>
      </c>
    </row>
    <row r="142" spans="1:11" x14ac:dyDescent="0.25">
      <c r="A142" s="2" t="s">
        <v>259</v>
      </c>
      <c r="B142" s="2">
        <v>16</v>
      </c>
      <c r="C142" s="2">
        <v>21</v>
      </c>
      <c r="D142" s="2" t="s">
        <v>244</v>
      </c>
      <c r="E142" s="2" t="s">
        <v>245</v>
      </c>
      <c r="F142" s="2">
        <v>0.80600000000000005</v>
      </c>
      <c r="G142" s="2">
        <v>1.7000000000000001E-2</v>
      </c>
      <c r="H142" s="2">
        <v>10</v>
      </c>
      <c r="I142" s="2">
        <v>2</v>
      </c>
      <c r="J142" s="5">
        <f t="shared" si="6"/>
        <v>0.42183622828784118</v>
      </c>
      <c r="K142" s="5">
        <f t="shared" si="7"/>
        <v>4.2183622828784115E-2</v>
      </c>
    </row>
    <row r="143" spans="1:11" x14ac:dyDescent="0.25">
      <c r="A143" s="2" t="s">
        <v>259</v>
      </c>
      <c r="B143" s="2">
        <v>16</v>
      </c>
      <c r="C143" s="2">
        <v>22</v>
      </c>
      <c r="D143" s="2" t="s">
        <v>246</v>
      </c>
      <c r="E143" s="2" t="s">
        <v>247</v>
      </c>
      <c r="F143" s="2">
        <v>1.1060000000000001</v>
      </c>
      <c r="G143" s="7">
        <v>3.9E-2</v>
      </c>
      <c r="H143" s="2">
        <v>10.5</v>
      </c>
      <c r="I143" s="2">
        <v>2</v>
      </c>
      <c r="J143" s="5">
        <f t="shared" si="6"/>
        <v>0.70524412296564187</v>
      </c>
      <c r="K143" s="5">
        <f t="shared" si="7"/>
        <v>7.0524412296564185E-2</v>
      </c>
    </row>
    <row r="144" spans="1:11" x14ac:dyDescent="0.25">
      <c r="A144" s="2" t="s">
        <v>259</v>
      </c>
      <c r="B144" s="2">
        <v>16</v>
      </c>
      <c r="C144" s="2">
        <v>23</v>
      </c>
      <c r="D144" s="2" t="s">
        <v>248</v>
      </c>
      <c r="E144" s="2" t="s">
        <v>249</v>
      </c>
      <c r="F144" s="2">
        <v>1.46</v>
      </c>
      <c r="G144" s="2">
        <v>3.5000000000000003E-2</v>
      </c>
      <c r="H144" s="2">
        <v>10</v>
      </c>
      <c r="I144" s="2">
        <v>2</v>
      </c>
      <c r="J144" s="5">
        <f t="shared" si="6"/>
        <v>0.47945205479452063</v>
      </c>
      <c r="K144" s="5">
        <f t="shared" si="7"/>
        <v>4.7945205479452066E-2</v>
      </c>
    </row>
    <row r="145" spans="1:11" x14ac:dyDescent="0.25">
      <c r="A145" s="2" t="s">
        <v>259</v>
      </c>
      <c r="B145" s="2">
        <v>16</v>
      </c>
      <c r="C145" s="2">
        <v>24</v>
      </c>
      <c r="D145" s="2" t="s">
        <v>250</v>
      </c>
      <c r="E145" s="2" t="s">
        <v>251</v>
      </c>
      <c r="F145" s="2">
        <v>2.2999999999999998</v>
      </c>
      <c r="G145" s="2">
        <v>0.33400000000000002</v>
      </c>
      <c r="H145" s="2">
        <v>10</v>
      </c>
      <c r="I145" s="2">
        <v>2</v>
      </c>
      <c r="J145" s="5">
        <f t="shared" si="6"/>
        <v>2.9043478260869571</v>
      </c>
      <c r="K145" s="6">
        <f t="shared" si="7"/>
        <v>0.29043478260869571</v>
      </c>
    </row>
    <row r="146" spans="1:11" x14ac:dyDescent="0.25">
      <c r="J146" s="5"/>
      <c r="K146" s="6"/>
    </row>
    <row r="147" spans="1:11" x14ac:dyDescent="0.25">
      <c r="J147" s="5"/>
      <c r="K147" s="6"/>
    </row>
    <row r="148" spans="1:11" x14ac:dyDescent="0.25">
      <c r="A148" s="2" t="s">
        <v>261</v>
      </c>
      <c r="B148" s="2">
        <v>4</v>
      </c>
      <c r="C148" s="2">
        <v>19</v>
      </c>
      <c r="D148" s="2" t="s">
        <v>252</v>
      </c>
      <c r="E148" s="2" t="s">
        <v>253</v>
      </c>
      <c r="F148" s="2">
        <v>0.53100000000000003</v>
      </c>
      <c r="G148" s="2">
        <v>0.04</v>
      </c>
      <c r="H148" s="2">
        <v>10</v>
      </c>
      <c r="I148" s="2">
        <v>2</v>
      </c>
      <c r="J148" s="5">
        <f t="shared" ref="J148:J150" si="8">(G148*10*2)/F148</f>
        <v>1.5065913370998116</v>
      </c>
      <c r="K148" s="8">
        <f t="shared" ref="K148:K150" si="9">J148/10</f>
        <v>0.15065913370998116</v>
      </c>
    </row>
    <row r="149" spans="1:11" x14ac:dyDescent="0.25">
      <c r="A149" s="2" t="s">
        <v>261</v>
      </c>
      <c r="B149" s="2">
        <v>4</v>
      </c>
      <c r="C149" s="2">
        <v>20</v>
      </c>
      <c r="D149" s="2" t="s">
        <v>254</v>
      </c>
      <c r="E149" s="2" t="s">
        <v>255</v>
      </c>
      <c r="F149" s="2">
        <v>1.2430000000000001</v>
      </c>
      <c r="G149" s="2">
        <v>5.7000000000000002E-2</v>
      </c>
      <c r="H149" s="2">
        <v>10</v>
      </c>
      <c r="I149" s="2">
        <v>2</v>
      </c>
      <c r="J149" s="5">
        <f t="shared" si="8"/>
        <v>0.91713596138374898</v>
      </c>
      <c r="K149" s="8">
        <f t="shared" si="9"/>
        <v>9.1713596138374903E-2</v>
      </c>
    </row>
    <row r="150" spans="1:11" x14ac:dyDescent="0.25">
      <c r="A150" s="2" t="s">
        <v>261</v>
      </c>
      <c r="B150" s="2">
        <v>4</v>
      </c>
      <c r="C150" s="2">
        <v>21</v>
      </c>
      <c r="D150" s="2" t="s">
        <v>256</v>
      </c>
      <c r="E150" s="2" t="s">
        <v>257</v>
      </c>
      <c r="F150" s="2">
        <v>0.44</v>
      </c>
      <c r="G150" s="2">
        <v>8.4000000000000005E-2</v>
      </c>
      <c r="H150" s="2">
        <v>10</v>
      </c>
      <c r="I150" s="2">
        <v>2</v>
      </c>
      <c r="J150" s="5">
        <f t="shared" si="8"/>
        <v>3.8181818181818183</v>
      </c>
      <c r="K150" s="8">
        <f t="shared" si="9"/>
        <v>0.38181818181818183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Mehnaz</dc:creator>
  <cp:lastModifiedBy>Solomon Maerowitz-McMahan</cp:lastModifiedBy>
  <dcterms:created xsi:type="dcterms:W3CDTF">2015-06-05T18:17:20Z</dcterms:created>
  <dcterms:modified xsi:type="dcterms:W3CDTF">2025-05-13T23:45:34Z</dcterms:modified>
</cp:coreProperties>
</file>